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mail\Desktop\"/>
    </mc:Choice>
  </mc:AlternateContent>
  <xr:revisionPtr revIDLastSave="0" documentId="13_ncr:1_{6DBA0748-C576-4481-AE87-FF38BB5862D8}" xr6:coauthVersionLast="47" xr6:coauthVersionMax="47" xr10:uidLastSave="{00000000-0000-0000-0000-000000000000}"/>
  <bookViews>
    <workbookView xWindow="-110" yWindow="-110" windowWidth="21820" windowHeight="13900" tabRatio="667" activeTab="2" xr2:uid="{00000000-000D-0000-FFFF-FFFF00000000}"/>
  </bookViews>
  <sheets>
    <sheet name="Raw Data" sheetId="2" r:id="rId1"/>
    <sheet name="Working Sheet" sheetId="5" r:id="rId2"/>
    <sheet name="Objectives and Comm." sheetId="4" r:id="rId3"/>
    <sheet name="Crude Oil " sheetId="9" r:id="rId4"/>
    <sheet name="YOY " sheetId="8" r:id="rId5"/>
    <sheet name="EDA " sheetId="6" r:id="rId6"/>
    <sheet name="Notes" sheetId="1" r:id="rId7"/>
  </sheets>
  <definedNames>
    <definedName name="_xlnm._FilterDatabase" localSheetId="5" hidden="1">'EDA '!$B$65:$B$124</definedName>
    <definedName name="ExternalData_1" localSheetId="0" hidden="1">'Raw Data'!$A$1:$AD$373</definedName>
    <definedName name="ExternalData_1" localSheetId="1" hidden="1">'Working Sheet'!$A$1:$AD$373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4" i="4" l="1"/>
  <c r="O204" i="4"/>
  <c r="M204" i="4"/>
  <c r="K204" i="4"/>
  <c r="I204" i="4"/>
  <c r="G204" i="4"/>
  <c r="E204" i="4"/>
  <c r="R202" i="4"/>
  <c r="P202" i="4"/>
  <c r="N202" i="4"/>
  <c r="L202" i="4"/>
  <c r="J202" i="4"/>
  <c r="H202" i="4"/>
  <c r="F202" i="4"/>
  <c r="D202" i="4"/>
  <c r="R201" i="4"/>
  <c r="P201" i="4"/>
  <c r="N201" i="4"/>
  <c r="L201" i="4"/>
  <c r="J201" i="4"/>
  <c r="H201" i="4"/>
  <c r="F201" i="4"/>
  <c r="D201" i="4"/>
  <c r="R200" i="4"/>
  <c r="P200" i="4"/>
  <c r="N200" i="4"/>
  <c r="L200" i="4"/>
  <c r="J200" i="4"/>
  <c r="H200" i="4"/>
  <c r="F200" i="4"/>
  <c r="D200" i="4"/>
  <c r="R199" i="4"/>
  <c r="P199" i="4"/>
  <c r="N199" i="4"/>
  <c r="L199" i="4"/>
  <c r="J199" i="4"/>
  <c r="H199" i="4"/>
  <c r="F199" i="4"/>
  <c r="D199" i="4"/>
  <c r="R198" i="4"/>
  <c r="P198" i="4"/>
  <c r="N198" i="4"/>
  <c r="L198" i="4"/>
  <c r="J198" i="4"/>
  <c r="H198" i="4"/>
  <c r="F198" i="4"/>
  <c r="D198" i="4"/>
  <c r="R197" i="4"/>
  <c r="P197" i="4"/>
  <c r="N197" i="4"/>
  <c r="L197" i="4"/>
  <c r="J197" i="4"/>
  <c r="H197" i="4"/>
  <c r="F197" i="4"/>
  <c r="D197" i="4"/>
  <c r="R196" i="4"/>
  <c r="P196" i="4"/>
  <c r="N196" i="4"/>
  <c r="L196" i="4"/>
  <c r="J196" i="4"/>
  <c r="H196" i="4"/>
  <c r="F196" i="4"/>
  <c r="D196" i="4"/>
  <c r="R195" i="4"/>
  <c r="P195" i="4"/>
  <c r="N195" i="4"/>
  <c r="L195" i="4"/>
  <c r="J195" i="4"/>
  <c r="H195" i="4"/>
  <c r="F195" i="4"/>
  <c r="D195" i="4"/>
  <c r="R194" i="4"/>
  <c r="P194" i="4"/>
  <c r="N194" i="4"/>
  <c r="L194" i="4"/>
  <c r="J194" i="4"/>
  <c r="H194" i="4"/>
  <c r="F194" i="4"/>
  <c r="D194" i="4"/>
  <c r="R193" i="4"/>
  <c r="P193" i="4"/>
  <c r="N193" i="4"/>
  <c r="L193" i="4"/>
  <c r="J193" i="4"/>
  <c r="H193" i="4"/>
  <c r="F193" i="4"/>
  <c r="D193" i="4"/>
  <c r="R192" i="4"/>
  <c r="P192" i="4"/>
  <c r="N192" i="4"/>
  <c r="L192" i="4"/>
  <c r="J192" i="4"/>
  <c r="H192" i="4"/>
  <c r="F192" i="4"/>
  <c r="D192" i="4"/>
  <c r="R191" i="4"/>
  <c r="P191" i="4"/>
  <c r="N191" i="4"/>
  <c r="L191" i="4"/>
  <c r="J191" i="4"/>
  <c r="H191" i="4"/>
  <c r="F191" i="4"/>
  <c r="D191" i="4"/>
  <c r="R190" i="4"/>
  <c r="P190" i="4"/>
  <c r="N190" i="4"/>
  <c r="L190" i="4"/>
  <c r="J190" i="4"/>
  <c r="H190" i="4"/>
  <c r="F190" i="4"/>
  <c r="D190" i="4"/>
  <c r="R189" i="4"/>
  <c r="P189" i="4"/>
  <c r="N189" i="4"/>
  <c r="L189" i="4"/>
  <c r="J189" i="4"/>
  <c r="H189" i="4"/>
  <c r="F189" i="4"/>
  <c r="D189" i="4"/>
  <c r="R188" i="4"/>
  <c r="P188" i="4"/>
  <c r="N188" i="4"/>
  <c r="L188" i="4"/>
  <c r="J188" i="4"/>
  <c r="H188" i="4"/>
  <c r="F188" i="4"/>
  <c r="D188" i="4"/>
  <c r="R187" i="4"/>
  <c r="P187" i="4"/>
  <c r="N187" i="4"/>
  <c r="L187" i="4"/>
  <c r="J187" i="4"/>
  <c r="H187" i="4"/>
  <c r="F187" i="4"/>
  <c r="D187" i="4"/>
  <c r="R186" i="4"/>
  <c r="P186" i="4"/>
  <c r="N186" i="4"/>
  <c r="L186" i="4"/>
  <c r="J186" i="4"/>
  <c r="H186" i="4"/>
  <c r="F186" i="4"/>
  <c r="D186" i="4"/>
  <c r="R185" i="4"/>
  <c r="P185" i="4"/>
  <c r="N185" i="4"/>
  <c r="L185" i="4"/>
  <c r="J185" i="4"/>
  <c r="H185" i="4"/>
  <c r="F185" i="4"/>
  <c r="D185" i="4"/>
  <c r="R184" i="4"/>
  <c r="P184" i="4"/>
  <c r="N184" i="4"/>
  <c r="L184" i="4"/>
  <c r="J184" i="4"/>
  <c r="H184" i="4"/>
  <c r="F184" i="4"/>
  <c r="D184" i="4"/>
  <c r="R183" i="4"/>
  <c r="P183" i="4"/>
  <c r="N183" i="4"/>
  <c r="L183" i="4"/>
  <c r="J183" i="4"/>
  <c r="H183" i="4"/>
  <c r="F183" i="4"/>
  <c r="D183" i="4"/>
  <c r="R182" i="4"/>
  <c r="P182" i="4"/>
  <c r="N182" i="4"/>
  <c r="L182" i="4"/>
  <c r="J182" i="4"/>
  <c r="H182" i="4"/>
  <c r="F182" i="4"/>
  <c r="D182" i="4"/>
  <c r="R181" i="4"/>
  <c r="P181" i="4"/>
  <c r="N181" i="4"/>
  <c r="L181" i="4"/>
  <c r="J181" i="4"/>
  <c r="H181" i="4"/>
  <c r="F181" i="4"/>
  <c r="D181" i="4"/>
  <c r="R180" i="4"/>
  <c r="P180" i="4"/>
  <c r="N180" i="4"/>
  <c r="L180" i="4"/>
  <c r="J180" i="4"/>
  <c r="H180" i="4"/>
  <c r="F180" i="4"/>
  <c r="D180" i="4"/>
  <c r="U9" i="4"/>
  <c r="O10" i="4" s="1"/>
  <c r="O35" i="4"/>
  <c r="O34" i="4"/>
  <c r="O33" i="4"/>
  <c r="O32" i="4"/>
  <c r="O31" i="4"/>
  <c r="O30" i="4"/>
  <c r="T11" i="8"/>
  <c r="T10" i="8"/>
  <c r="T9" i="8"/>
  <c r="T8" i="8"/>
  <c r="T7" i="8"/>
  <c r="T6" i="8"/>
  <c r="Q32" i="9"/>
  <c r="O32" i="9"/>
  <c r="M32" i="9"/>
  <c r="K32" i="9"/>
  <c r="I32" i="9"/>
  <c r="G32" i="9"/>
  <c r="E32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8" i="9"/>
  <c r="P8" i="9"/>
  <c r="N8" i="9"/>
  <c r="L8" i="9"/>
  <c r="J8" i="9"/>
  <c r="H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8" i="9"/>
  <c r="D19" i="9"/>
  <c r="D20" i="9"/>
  <c r="D21" i="9"/>
  <c r="D22" i="9"/>
  <c r="D23" i="9"/>
  <c r="D24" i="9"/>
  <c r="D25" i="9"/>
  <c r="D26" i="9"/>
  <c r="D27" i="9"/>
  <c r="D28" i="9"/>
  <c r="D29" i="9"/>
  <c r="D30" i="9"/>
  <c r="D9" i="9"/>
  <c r="D10" i="9"/>
  <c r="D11" i="9"/>
  <c r="D12" i="9"/>
  <c r="D13" i="9"/>
  <c r="D14" i="9"/>
  <c r="D15" i="9"/>
  <c r="D16" i="9"/>
  <c r="D17" i="9"/>
  <c r="D18" i="9"/>
  <c r="D8" i="9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F19" i="6"/>
  <c r="Z18" i="6"/>
  <c r="X18" i="6"/>
  <c r="V18" i="6"/>
  <c r="T18" i="6"/>
  <c r="R18" i="6"/>
  <c r="P18" i="6"/>
  <c r="N18" i="6"/>
  <c r="F18" i="6"/>
  <c r="Z17" i="6"/>
  <c r="X17" i="6"/>
  <c r="V17" i="6"/>
  <c r="T17" i="6"/>
  <c r="R17" i="6"/>
  <c r="P17" i="6"/>
  <c r="N17" i="6"/>
  <c r="F17" i="6"/>
  <c r="Z16" i="6"/>
  <c r="X16" i="6"/>
  <c r="V16" i="6"/>
  <c r="T16" i="6"/>
  <c r="R16" i="6"/>
  <c r="P16" i="6"/>
  <c r="N16" i="6"/>
  <c r="F16" i="6"/>
  <c r="Z15" i="6"/>
  <c r="X15" i="6"/>
  <c r="V15" i="6"/>
  <c r="T15" i="6"/>
  <c r="R15" i="6"/>
  <c r="P15" i="6"/>
  <c r="N15" i="6"/>
  <c r="F15" i="6"/>
  <c r="Z14" i="6"/>
  <c r="X14" i="6"/>
  <c r="V14" i="6"/>
  <c r="T14" i="6"/>
  <c r="R14" i="6"/>
  <c r="P14" i="6"/>
  <c r="N14" i="6"/>
  <c r="F14" i="6"/>
  <c r="Z13" i="6"/>
  <c r="X13" i="6"/>
  <c r="V13" i="6"/>
  <c r="T13" i="6"/>
  <c r="R13" i="6"/>
  <c r="P13" i="6"/>
  <c r="N13" i="6"/>
  <c r="J6" i="6"/>
  <c r="I6" i="6"/>
  <c r="H6" i="6"/>
  <c r="G6" i="6"/>
  <c r="F6" i="6"/>
  <c r="E6" i="6"/>
  <c r="D6" i="6"/>
  <c r="K4" i="6"/>
  <c r="U264" i="5"/>
  <c r="U265" i="5" s="1"/>
  <c r="X263" i="5"/>
  <c r="X264" i="5" s="1"/>
  <c r="X265" i="5" s="1"/>
  <c r="V263" i="5"/>
  <c r="P263" i="5"/>
  <c r="P264" i="5" s="1"/>
  <c r="P265" i="5" s="1"/>
  <c r="N263" i="5"/>
  <c r="M263" i="5"/>
  <c r="L263" i="5"/>
  <c r="L264" i="5" s="1"/>
  <c r="K263" i="5"/>
  <c r="K264" i="5" s="1"/>
  <c r="K265" i="5" s="1"/>
  <c r="J263" i="5"/>
  <c r="J264" i="5" s="1"/>
  <c r="J265" i="5" s="1"/>
  <c r="I263" i="5"/>
  <c r="I264" i="5" s="1"/>
  <c r="I265" i="5" s="1"/>
  <c r="H263" i="5"/>
  <c r="H264" i="5" s="1"/>
  <c r="H265" i="5" s="1"/>
  <c r="G263" i="5"/>
  <c r="G264" i="5" s="1"/>
  <c r="G265" i="5" s="1"/>
  <c r="F263" i="5"/>
  <c r="D263" i="5"/>
  <c r="AD260" i="5"/>
  <c r="AC260" i="5"/>
  <c r="AB260" i="5"/>
  <c r="AA260" i="5"/>
  <c r="AA261" i="5" s="1"/>
  <c r="Z260" i="5"/>
  <c r="Z261" i="5" s="1"/>
  <c r="Y260" i="5"/>
  <c r="W260" i="5"/>
  <c r="W261" i="5" s="1"/>
  <c r="T260" i="5"/>
  <c r="T261" i="5" s="1"/>
  <c r="S260" i="5"/>
  <c r="R260" i="5"/>
  <c r="R261" i="5" s="1"/>
  <c r="Q260" i="5"/>
  <c r="Q261" i="5" s="1"/>
  <c r="O260" i="5"/>
  <c r="O261" i="5" s="1"/>
  <c r="E260" i="5"/>
  <c r="E261" i="5" s="1"/>
  <c r="AK2" i="5"/>
  <c r="AJ2" i="5"/>
  <c r="AH2" i="5"/>
  <c r="AG2" i="5"/>
  <c r="AF2" i="5"/>
  <c r="AE2" i="5"/>
  <c r="U2" i="5"/>
  <c r="AI2" i="5" s="1"/>
  <c r="T10" i="4" l="1"/>
  <c r="P10" i="4"/>
  <c r="N10" i="4"/>
  <c r="S10" i="4"/>
  <c r="R10" i="4"/>
  <c r="Q10" i="4"/>
  <c r="AD261" i="5"/>
  <c r="AD262" i="5" s="1"/>
  <c r="AD263" i="5" s="1"/>
  <c r="T262" i="5"/>
  <c r="T263" i="5" s="1"/>
  <c r="T264" i="5" s="1"/>
  <c r="W262" i="5"/>
  <c r="W263" i="5" s="1"/>
  <c r="S261" i="5"/>
  <c r="S262" i="5" s="1"/>
  <c r="AL2" i="5"/>
  <c r="Q262" i="5"/>
  <c r="AB261" i="5"/>
  <c r="AB262" i="5" s="1"/>
  <c r="AB263" i="5" s="1"/>
  <c r="R262" i="5"/>
  <c r="R263" i="5" s="1"/>
  <c r="R264" i="5" s="1"/>
  <c r="AC261" i="5"/>
  <c r="AC262" i="5" s="1"/>
  <c r="E262" i="5"/>
  <c r="Z262" i="5"/>
  <c r="Z263" i="5" s="1"/>
  <c r="M264" i="5"/>
  <c r="M265" i="5" s="1"/>
  <c r="Y261" i="5"/>
  <c r="L265" i="5"/>
  <c r="D264" i="5"/>
  <c r="D265" i="5" s="1"/>
  <c r="O262" i="5"/>
  <c r="AA262" i="5"/>
  <c r="AA263" i="5" s="1"/>
  <c r="F264" i="5"/>
  <c r="F265" i="5" s="1"/>
  <c r="N264" i="5"/>
  <c r="N265" i="5" s="1"/>
  <c r="V264" i="5"/>
  <c r="V265" i="5" s="1"/>
  <c r="AC263" i="5" l="1"/>
  <c r="AC264" i="5" s="1"/>
  <c r="Q263" i="5"/>
  <c r="Q264" i="5" s="1"/>
  <c r="S263" i="5"/>
  <c r="S264" i="5" s="1"/>
  <c r="S265" i="5" s="1"/>
  <c r="W264" i="5"/>
  <c r="W265" i="5" s="1"/>
  <c r="O263" i="5"/>
  <c r="T265" i="5"/>
  <c r="AB264" i="5"/>
  <c r="AB265" i="5" s="1"/>
  <c r="R265" i="5"/>
  <c r="E263" i="5"/>
  <c r="AA264" i="5"/>
  <c r="AA265" i="5" s="1"/>
  <c r="Z264" i="5"/>
  <c r="Z265" i="5" s="1"/>
  <c r="Y262" i="5"/>
  <c r="AD264" i="5"/>
  <c r="AD265" i="5" s="1"/>
  <c r="AC265" i="5" l="1"/>
  <c r="Q265" i="5"/>
  <c r="E264" i="5"/>
  <c r="E265" i="5" s="1"/>
  <c r="Y263" i="5"/>
  <c r="O264" i="5"/>
  <c r="O265" i="5" s="1"/>
  <c r="Y264" i="5" l="1"/>
  <c r="Y265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7F7DD8-2725-4D51-B7AD-B904FD89594E}" keepAlive="1" name="Query - All_India_Index_Upto_April23 (1)" description="Connection to the 'All_India_Index_Upto_April23 (1)' query in the workbook." type="5" refreshedVersion="8" background="1" saveData="1">
    <dbPr connection="Provider=Microsoft.Mashup.OleDb.1;Data Source=$Workbook$;Location=&quot;All_India_Index_Upto_April23 (1)&quot;;Extended Properties=&quot;&quot;" command="SELECT * FROM [All_India_Index_Upto_April23 (1)]"/>
  </connection>
  <connection id="2" xr16:uid="{F76A1BCA-49D1-4EA3-B82F-D22840E2A908}" keepAlive="1" name="Query - All_India_Index_Upto_April23 (2)" description="Connection to the 'All_India_Index_Upto_April23 (2)' query in the workbook." type="5" refreshedVersion="8" background="1" saveData="1">
    <dbPr connection="Provider=Microsoft.Mashup.OleDb.1;Data Source=$Workbook$;Location=&quot;All_India_Index_Upto_April23 (2)&quot;;Extended Properties=&quot;&quot;" command="SELECT * FROM [All_India_Index_Upto_April23 (2)]"/>
  </connection>
  <connection id="3" xr16:uid="{0CCD262B-6359-4F1E-9A2D-405D983999EB}" keepAlive="1" name="Query - All_India_Index_Upto_April23 (3)" description="Connection to the 'All_India_Index_Upto_April23 (3)' query in the workbook." type="5" refreshedVersion="8" background="1" saveData="1">
    <dbPr connection="Provider=Microsoft.Mashup.OleDb.1;Data Source=$Workbook$;Location=&quot;All_India_Index_Upto_April23 (3)&quot;;Extended Properties=&quot;&quot;" command="SELECT * FROM [All_India_Index_Upto_April23 (3)]"/>
  </connection>
</connections>
</file>

<file path=xl/sharedStrings.xml><?xml version="1.0" encoding="utf-8"?>
<sst xmlns="http://schemas.openxmlformats.org/spreadsheetml/2006/main" count="12418" uniqueCount="1227">
  <si>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</si>
  <si>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</si>
  <si>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</si>
  <si>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</si>
  <si>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</si>
  <si>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</si>
  <si>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</si>
  <si>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</si>
  <si>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</si>
  <si>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</si>
  <si>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</si>
  <si>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</si>
  <si>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</si>
  <si>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</si>
  <si>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</si>
  <si>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</si>
  <si>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</si>
  <si>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</si>
  <si>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</si>
  <si>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</si>
  <si>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</si>
  <si>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</si>
  <si>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</si>
  <si>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</si>
  <si>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</si>
  <si>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</si>
  <si>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</si>
  <si>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</si>
  <si>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</si>
  <si>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</si>
  <si>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</si>
  <si>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</si>
  <si>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107.5</t>
  </si>
  <si>
    <t>106.3</t>
  </si>
  <si>
    <t>108.1</t>
  </si>
  <si>
    <t>104.9</t>
  </si>
  <si>
    <t>106.1</t>
  </si>
  <si>
    <t>103.9</t>
  </si>
  <si>
    <t>101.9</t>
  </si>
  <si>
    <t>106.8</t>
  </si>
  <si>
    <t>103.1</t>
  </si>
  <si>
    <t>104.8</t>
  </si>
  <si>
    <t>106.7</t>
  </si>
  <si>
    <t>105.5</t>
  </si>
  <si>
    <t>105.1</t>
  </si>
  <si>
    <t>106.5</t>
  </si>
  <si>
    <t>105.8</t>
  </si>
  <si>
    <t>106.4</t>
  </si>
  <si>
    <t>NA</t>
  </si>
  <si>
    <t>104</t>
  </si>
  <si>
    <t>103.3</t>
  </si>
  <si>
    <t>103.4</t>
  </si>
  <si>
    <t>103.8</t>
  </si>
  <si>
    <t>104.7</t>
  </si>
  <si>
    <t>Urban</t>
  </si>
  <si>
    <t>110.5</t>
  </si>
  <si>
    <t>109.1</t>
  </si>
  <si>
    <t>113</t>
  </si>
  <si>
    <t>103.6</t>
  </si>
  <si>
    <t>102.3</t>
  </si>
  <si>
    <t>102.9</t>
  </si>
  <si>
    <t>101.8</t>
  </si>
  <si>
    <t>107.9</t>
  </si>
  <si>
    <t>105.9</t>
  </si>
  <si>
    <t>105.2</t>
  </si>
  <si>
    <t>105</t>
  </si>
  <si>
    <t>100.3</t>
  </si>
  <si>
    <t>105.4</t>
  </si>
  <si>
    <t>104.1</t>
  </si>
  <si>
    <t>103.2</t>
  </si>
  <si>
    <t>103.5</t>
  </si>
  <si>
    <t>104.3</t>
  </si>
  <si>
    <t>103.7</t>
  </si>
  <si>
    <t>Rural+Urban</t>
  </si>
  <si>
    <t>108.4</t>
  </si>
  <si>
    <t>107.3</t>
  </si>
  <si>
    <t>110</t>
  </si>
  <si>
    <t>104.4</t>
  </si>
  <si>
    <t>102.2</t>
  </si>
  <si>
    <t>106</t>
  </si>
  <si>
    <t>106.2</t>
  </si>
  <si>
    <t>102.7</t>
  </si>
  <si>
    <t>105.6</t>
  </si>
  <si>
    <t>104.5</t>
  </si>
  <si>
    <t>104.6</t>
  </si>
  <si>
    <t>February</t>
  </si>
  <si>
    <t>109.2</t>
  </si>
  <si>
    <t>108.7</t>
  </si>
  <si>
    <t>110.2</t>
  </si>
  <si>
    <t>102.4</t>
  </si>
  <si>
    <t>105.7</t>
  </si>
  <si>
    <t>107.7</t>
  </si>
  <si>
    <t>107.1</t>
  </si>
  <si>
    <t>107</t>
  </si>
  <si>
    <t>112.9</t>
  </si>
  <si>
    <t>116.9</t>
  </si>
  <si>
    <t>109</t>
  </si>
  <si>
    <t>107.2</t>
  </si>
  <si>
    <t>106.6</t>
  </si>
  <si>
    <t>100.4</t>
  </si>
  <si>
    <t>110.4</t>
  </si>
  <si>
    <t>112.8</t>
  </si>
  <si>
    <t>105.3</t>
  </si>
  <si>
    <t>102.8</t>
  </si>
  <si>
    <t>108.3</t>
  </si>
  <si>
    <t>106.9</t>
  </si>
  <si>
    <t>104.2</t>
  </si>
  <si>
    <t>March</t>
  </si>
  <si>
    <t>108.8</t>
  </si>
  <si>
    <t>109.9</t>
  </si>
  <si>
    <t>101.4</t>
  </si>
  <si>
    <t>108.2</t>
  </si>
  <si>
    <t>107.6</t>
  </si>
  <si>
    <t>113.9</t>
  </si>
  <si>
    <t>111.4</t>
  </si>
  <si>
    <t>113.2</t>
  </si>
  <si>
    <t>102.6</t>
  </si>
  <si>
    <t>109.8</t>
  </si>
  <si>
    <t>109.7</t>
  </si>
  <si>
    <t>111.2</t>
  </si>
  <si>
    <t>103</t>
  </si>
  <si>
    <t>108.9</t>
  </si>
  <si>
    <t>107.4</t>
  </si>
  <si>
    <t>April</t>
  </si>
  <si>
    <t>109.5</t>
  </si>
  <si>
    <t>108</t>
  </si>
  <si>
    <t>114.6</t>
  </si>
  <si>
    <t>113.4</t>
  </si>
  <si>
    <t>102.1</t>
  </si>
  <si>
    <t>102</t>
  </si>
  <si>
    <t>110.6</t>
  </si>
  <si>
    <t>108.5</t>
  </si>
  <si>
    <t>100.5</t>
  </si>
  <si>
    <t>111.6</t>
  </si>
  <si>
    <t>110.9</t>
  </si>
  <si>
    <t>109.6</t>
  </si>
  <si>
    <t>May</t>
  </si>
  <si>
    <t>108.6</t>
  </si>
  <si>
    <t>115.4</t>
  </si>
  <si>
    <t>114.2</t>
  </si>
  <si>
    <t>101.5</t>
  </si>
  <si>
    <t>123.7</t>
  </si>
  <si>
    <t>111.3</t>
  </si>
  <si>
    <t>111.1</t>
  </si>
  <si>
    <t>112.3</t>
  </si>
  <si>
    <t>109.3</t>
  </si>
  <si>
    <t>June</t>
  </si>
  <si>
    <t>112.1</t>
  </si>
  <si>
    <t>118</t>
  </si>
  <si>
    <t>111</t>
  </si>
  <si>
    <t>102.5</t>
  </si>
  <si>
    <t>117</t>
  </si>
  <si>
    <t>120.1</t>
  </si>
  <si>
    <t>112.5</t>
  </si>
  <si>
    <t>101.3</t>
  </si>
  <si>
    <t>112.4</t>
  </si>
  <si>
    <t>143.6</t>
  </si>
  <si>
    <t>112.2</t>
  </si>
  <si>
    <t>115</t>
  </si>
  <si>
    <t>113.8</t>
  </si>
  <si>
    <t>114.9</t>
  </si>
  <si>
    <t>110.7</t>
  </si>
  <si>
    <t>126.7</t>
  </si>
  <si>
    <t>July</t>
  </si>
  <si>
    <t>110.3</t>
  </si>
  <si>
    <t>129.2</t>
  </si>
  <si>
    <t>113.1</t>
  </si>
  <si>
    <t>107.8</t>
  </si>
  <si>
    <t>117.8</t>
  </si>
  <si>
    <t>119.2</t>
  </si>
  <si>
    <t>114</t>
  </si>
  <si>
    <t>101.1</t>
  </si>
  <si>
    <t>160.9</t>
  </si>
  <si>
    <t>117.5</t>
  </si>
  <si>
    <t>111.7</t>
  </si>
  <si>
    <t>110.1</t>
  </si>
  <si>
    <t>114.8</t>
  </si>
  <si>
    <t>116.4</t>
  </si>
  <si>
    <t>111.9</t>
  </si>
  <si>
    <t>140</t>
  </si>
  <si>
    <t>112.6</t>
  </si>
  <si>
    <t>114.7</t>
  </si>
  <si>
    <t>August</t>
  </si>
  <si>
    <t>114.3</t>
  </si>
  <si>
    <t>110.8</t>
  </si>
  <si>
    <t>138.9</t>
  </si>
  <si>
    <t>118.3</t>
  </si>
  <si>
    <t>120.4</t>
  </si>
  <si>
    <t>112.7</t>
  </si>
  <si>
    <t>177</t>
  </si>
  <si>
    <t>101</t>
  </si>
  <si>
    <t>119.6</t>
  </si>
  <si>
    <t>115.6</t>
  </si>
  <si>
    <t>117.2</t>
  </si>
  <si>
    <t>151.8</t>
  </si>
  <si>
    <t>116.6</t>
  </si>
  <si>
    <t>109.4</t>
  </si>
  <si>
    <t>September</t>
  </si>
  <si>
    <t>115.7</t>
  </si>
  <si>
    <t>154</t>
  </si>
  <si>
    <t>118.6</t>
  </si>
  <si>
    <t>119.1</t>
  </si>
  <si>
    <t>101.7</t>
  </si>
  <si>
    <t>174.3</t>
  </si>
  <si>
    <t>100.8</t>
  </si>
  <si>
    <t>112</t>
  </si>
  <si>
    <t>113.7</t>
  </si>
  <si>
    <t>October</t>
  </si>
  <si>
    <t>116.3</t>
  </si>
  <si>
    <t>164.9</t>
  </si>
  <si>
    <t>119.8</t>
  </si>
  <si>
    <t>113.6</t>
  </si>
  <si>
    <t>115.5</t>
  </si>
  <si>
    <t>118.9</t>
  </si>
  <si>
    <t>118.1</t>
  </si>
  <si>
    <t>114.5</t>
  </si>
  <si>
    <t>183.5</t>
  </si>
  <si>
    <t>100.2</t>
  </si>
  <si>
    <t>116</t>
  </si>
  <si>
    <t>120.8</t>
  </si>
  <si>
    <t>113.5</t>
  </si>
  <si>
    <t>117.1</t>
  </si>
  <si>
    <t>113.3</t>
  </si>
  <si>
    <t>171.2</t>
  </si>
  <si>
    <t>120.2</t>
  </si>
  <si>
    <t xml:space="preserve">November </t>
  </si>
  <si>
    <t>117.3</t>
  </si>
  <si>
    <t>116.2</t>
  </si>
  <si>
    <t>178.1</t>
  </si>
  <si>
    <t>111.8</t>
  </si>
  <si>
    <t>122.5</t>
  </si>
  <si>
    <t>114.4</t>
  </si>
  <si>
    <t>117.4</t>
  </si>
  <si>
    <t>November</t>
  </si>
  <si>
    <t>122.6</t>
  </si>
  <si>
    <t>192.8</t>
  </si>
  <si>
    <t>99.5</t>
  </si>
  <si>
    <t>122.9</t>
  </si>
  <si>
    <t>114.1</t>
  </si>
  <si>
    <t>118.7</t>
  </si>
  <si>
    <t>183.1</t>
  </si>
  <si>
    <t>116.5</t>
  </si>
  <si>
    <t>December</t>
  </si>
  <si>
    <t>118.4</t>
  </si>
  <si>
    <t>115.9</t>
  </si>
  <si>
    <t>145.7</t>
  </si>
  <si>
    <t>116.8</t>
  </si>
  <si>
    <t>115.8</t>
  </si>
  <si>
    <t>120.5</t>
  </si>
  <si>
    <t>128.5</t>
  </si>
  <si>
    <t>144.8</t>
  </si>
  <si>
    <t>98.6</t>
  </si>
  <si>
    <t>116.7</t>
  </si>
  <si>
    <t>123.5</t>
  </si>
  <si>
    <t>145.4</t>
  </si>
  <si>
    <t>115.2</t>
  </si>
  <si>
    <t>111.5</t>
  </si>
  <si>
    <t>123.9</t>
  </si>
  <si>
    <t>121.2</t>
  </si>
  <si>
    <t>122</t>
  </si>
  <si>
    <t>129.9</t>
  </si>
  <si>
    <t>96.9</t>
  </si>
  <si>
    <t>119</t>
  </si>
  <si>
    <t>118.8</t>
  </si>
  <si>
    <t>124.1</t>
  </si>
  <si>
    <t>122.2</t>
  </si>
  <si>
    <t>119.4</t>
  </si>
  <si>
    <t>117.7</t>
  </si>
  <si>
    <t>115.3</t>
  </si>
  <si>
    <t>121.9</t>
  </si>
  <si>
    <t>124.5</t>
  </si>
  <si>
    <t>95.4</t>
  </si>
  <si>
    <t>119.9</t>
  </si>
  <si>
    <t>115.1</t>
  </si>
  <si>
    <t>99.2</t>
  </si>
  <si>
    <t>120.7</t>
  </si>
  <si>
    <t>116.1</t>
  </si>
  <si>
    <t>117.9</t>
  </si>
  <si>
    <t>101.2</t>
  </si>
  <si>
    <t>122.1</t>
  </si>
  <si>
    <t>121.4</t>
  </si>
  <si>
    <t>121.5</t>
  </si>
  <si>
    <t>96.3</t>
  </si>
  <si>
    <t>Marcrh</t>
  </si>
  <si>
    <t>119.3</t>
  </si>
  <si>
    <t>121</t>
  </si>
  <si>
    <t>99.6</t>
  </si>
  <si>
    <t>125.5</t>
  </si>
  <si>
    <t>121.7</t>
  </si>
  <si>
    <t>118.2</t>
  </si>
  <si>
    <t>117.6</t>
  </si>
  <si>
    <t>120.9</t>
  </si>
  <si>
    <t>126.1</t>
  </si>
  <si>
    <t>120.3</t>
  </si>
  <si>
    <t>126.3</t>
  </si>
  <si>
    <t>118.5</t>
  </si>
  <si>
    <t>122.7</t>
  </si>
  <si>
    <t>127</t>
  </si>
  <si>
    <t>120</t>
  </si>
  <si>
    <t>121.1</t>
  </si>
  <si>
    <t>121.6</t>
  </si>
  <si>
    <t>127.7</t>
  </si>
  <si>
    <t>125</t>
  </si>
  <si>
    <t>125.8</t>
  </si>
  <si>
    <t>129.3</t>
  </si>
  <si>
    <t>119.5</t>
  </si>
  <si>
    <t>119.7</t>
  </si>
  <si>
    <t>123.1</t>
  </si>
  <si>
    <t>125.9</t>
  </si>
  <si>
    <t>131.2</t>
  </si>
  <si>
    <t>137.5</t>
  </si>
  <si>
    <t>122.4</t>
  </si>
  <si>
    <t>128.3</t>
  </si>
  <si>
    <t>132.1</t>
  </si>
  <si>
    <t>120.6</t>
  </si>
  <si>
    <t>129.1</t>
  </si>
  <si>
    <t>150.1</t>
  </si>
  <si>
    <t>123.3</t>
  </si>
  <si>
    <t>123.8</t>
  </si>
  <si>
    <t>126.4</t>
  </si>
  <si>
    <t>133.7</t>
  </si>
  <si>
    <t>172.4</t>
  </si>
  <si>
    <t>123.4</t>
  </si>
  <si>
    <t>127.1</t>
  </si>
  <si>
    <t>157.7</t>
  </si>
  <si>
    <t>124.7</t>
  </si>
  <si>
    <t>121.8</t>
  </si>
  <si>
    <t>122.8</t>
  </si>
  <si>
    <t>129.7</t>
  </si>
  <si>
    <t>161.1</t>
  </si>
  <si>
    <t>125.3</t>
  </si>
  <si>
    <t>124.8</t>
  </si>
  <si>
    <t>127.3</t>
  </si>
  <si>
    <t>132.7</t>
  </si>
  <si>
    <t>181.9</t>
  </si>
  <si>
    <t>128.9</t>
  </si>
  <si>
    <t>123</t>
  </si>
  <si>
    <t>124.4</t>
  </si>
  <si>
    <t>131.1</t>
  </si>
  <si>
    <t>168.2</t>
  </si>
  <si>
    <t>126.6</t>
  </si>
  <si>
    <t>122.3</t>
  </si>
  <si>
    <t>129.8</t>
  </si>
  <si>
    <t>158.8</t>
  </si>
  <si>
    <t>121.3</t>
  </si>
  <si>
    <t>124.2</t>
  </si>
  <si>
    <t>125.4</t>
  </si>
  <si>
    <t>168.6</t>
  </si>
  <si>
    <t>125.2</t>
  </si>
  <si>
    <t>124.3</t>
  </si>
  <si>
    <t>162.1</t>
  </si>
  <si>
    <t>123.2</t>
  </si>
  <si>
    <t>155.3</t>
  </si>
  <si>
    <t>125.1</t>
  </si>
  <si>
    <t>124.6</t>
  </si>
  <si>
    <t>159.6</t>
  </si>
  <si>
    <t>156.8</t>
  </si>
  <si>
    <t>124</t>
  </si>
  <si>
    <t>128.8</t>
  </si>
  <si>
    <t>152</t>
  </si>
  <si>
    <t>124.9</t>
  </si>
  <si>
    <t>125.6</t>
  </si>
  <si>
    <t>153.2</t>
  </si>
  <si>
    <t>99.8</t>
  </si>
  <si>
    <t>126.9</t>
  </si>
  <si>
    <t>125.7</t>
  </si>
  <si>
    <t>152.4</t>
  </si>
  <si>
    <t>128.6</t>
  </si>
  <si>
    <t>140.3</t>
  </si>
  <si>
    <t>141</t>
  </si>
  <si>
    <t>97.8</t>
  </si>
  <si>
    <t>127.6</t>
  </si>
  <si>
    <t>140.5</t>
  </si>
  <si>
    <t>100.6</t>
  </si>
  <si>
    <t>123.6</t>
  </si>
  <si>
    <t>130.4</t>
  </si>
  <si>
    <t>132.3</t>
  </si>
  <si>
    <t>134.4</t>
  </si>
  <si>
    <t>96.1</t>
  </si>
  <si>
    <t>128</t>
  </si>
  <si>
    <t>127.4</t>
  </si>
  <si>
    <t>126.2</t>
  </si>
  <si>
    <t>133</t>
  </si>
  <si>
    <t>99</t>
  </si>
  <si>
    <t>129.4</t>
  </si>
  <si>
    <t>128.2</t>
  </si>
  <si>
    <t>100</t>
  </si>
  <si>
    <t>126.8</t>
  </si>
  <si>
    <t>126.5</t>
  </si>
  <si>
    <t>131.8</t>
  </si>
  <si>
    <t>95</t>
  </si>
  <si>
    <t>128.1</t>
  </si>
  <si>
    <t>98.3</t>
  </si>
  <si>
    <t>126</t>
  </si>
  <si>
    <t>130.9</t>
  </si>
  <si>
    <t>98.9</t>
  </si>
  <si>
    <t>131.4</t>
  </si>
  <si>
    <t>127.2</t>
  </si>
  <si>
    <t>93.2</t>
  </si>
  <si>
    <t>97</t>
  </si>
  <si>
    <t>128.4</t>
  </si>
  <si>
    <t>134.2</t>
  </si>
  <si>
    <t>127.5</t>
  </si>
  <si>
    <t>128.7</t>
  </si>
  <si>
    <t>130.6</t>
  </si>
  <si>
    <t>130.8</t>
  </si>
  <si>
    <t>131.3</t>
  </si>
  <si>
    <t>91.6</t>
  </si>
  <si>
    <t>129.5</t>
  </si>
  <si>
    <t>130.1</t>
  </si>
  <si>
    <t>132.5</t>
  </si>
  <si>
    <t>95.7</t>
  </si>
  <si>
    <t>134.1</t>
  </si>
  <si>
    <t>97.6</t>
  </si>
  <si>
    <t>135.6</t>
  </si>
  <si>
    <t>142.6</t>
  </si>
  <si>
    <t>90.8</t>
  </si>
  <si>
    <t>132.6</t>
  </si>
  <si>
    <t>130.5</t>
  </si>
  <si>
    <t>95.3</t>
  </si>
  <si>
    <t>127.9</t>
  </si>
  <si>
    <t>133.2</t>
  </si>
  <si>
    <t>135.2</t>
  </si>
  <si>
    <t>131.9</t>
  </si>
  <si>
    <t>146.7</t>
  </si>
  <si>
    <t>148.1</t>
  </si>
  <si>
    <t>89.8</t>
  </si>
  <si>
    <t>132.8</t>
  </si>
  <si>
    <t>139.1</t>
  </si>
  <si>
    <t>137.4</t>
  </si>
  <si>
    <t>94.1</t>
  </si>
  <si>
    <t>131.5</t>
  </si>
  <si>
    <t>133.3</t>
  </si>
  <si>
    <t>140.8</t>
  </si>
  <si>
    <t>133.8</t>
  </si>
  <si>
    <t>131.7</t>
  </si>
  <si>
    <t>134.3</t>
  </si>
  <si>
    <t>153.5</t>
  </si>
  <si>
    <t>149.5</t>
  </si>
  <si>
    <t>85.7</t>
  </si>
  <si>
    <t>133.1</t>
  </si>
  <si>
    <t>145.1</t>
  </si>
  <si>
    <t>91.3</t>
  </si>
  <si>
    <t>153.6</t>
  </si>
  <si>
    <t>137.9</t>
  </si>
  <si>
    <t>93.1</t>
  </si>
  <si>
    <t>129</t>
  </si>
  <si>
    <t>165.5</t>
  </si>
  <si>
    <t>156</t>
  </si>
  <si>
    <t>85.3</t>
  </si>
  <si>
    <t>157.6</t>
  </si>
  <si>
    <t>144</t>
  </si>
  <si>
    <t>90.5</t>
  </si>
  <si>
    <t>130.3</t>
  </si>
  <si>
    <t>158.9</t>
  </si>
  <si>
    <t>142.1</t>
  </si>
  <si>
    <t>92.5</t>
  </si>
  <si>
    <t>131</t>
  </si>
  <si>
    <t>168.5</t>
  </si>
  <si>
    <t>165.4</t>
  </si>
  <si>
    <t>86.3</t>
  </si>
  <si>
    <t>134.7</t>
  </si>
  <si>
    <t>162.2</t>
  </si>
  <si>
    <t>150</t>
  </si>
  <si>
    <t>90.4</t>
  </si>
  <si>
    <t>132</t>
  </si>
  <si>
    <t>154.2</t>
  </si>
  <si>
    <t>93.7</t>
  </si>
  <si>
    <t>165.8</t>
  </si>
  <si>
    <t>187.2</t>
  </si>
  <si>
    <t>89.4</t>
  </si>
  <si>
    <t>135.8</t>
  </si>
  <si>
    <t>132.9</t>
  </si>
  <si>
    <t>135.3</t>
  </si>
  <si>
    <t>160.4</t>
  </si>
  <si>
    <t>165.3</t>
  </si>
  <si>
    <t>92.3</t>
  </si>
  <si>
    <t>127.8</t>
  </si>
  <si>
    <t>155.2</t>
  </si>
  <si>
    <t>160.8</t>
  </si>
  <si>
    <t>94.5</t>
  </si>
  <si>
    <t>132.4</t>
  </si>
  <si>
    <t>132.2</t>
  </si>
  <si>
    <t>164.6</t>
  </si>
  <si>
    <t>191.6</t>
  </si>
  <si>
    <t>137.1</t>
  </si>
  <si>
    <t>137.6</t>
  </si>
  <si>
    <t>158.4</t>
  </si>
  <si>
    <t>93.3</t>
  </si>
  <si>
    <t>134</t>
  </si>
  <si>
    <t>133.6</t>
  </si>
  <si>
    <t>131.6</t>
  </si>
  <si>
    <t>145.5</t>
  </si>
  <si>
    <t>135.1</t>
  </si>
  <si>
    <t>149</t>
  </si>
  <si>
    <t>190.1</t>
  </si>
  <si>
    <t>92.7</t>
  </si>
  <si>
    <t>138.6</t>
  </si>
  <si>
    <t>138.2</t>
  </si>
  <si>
    <t>171.5</t>
  </si>
  <si>
    <t>134.5</t>
  </si>
  <si>
    <t>140.1</t>
  </si>
  <si>
    <t>163.8</t>
  </si>
  <si>
    <t>97.7</t>
  </si>
  <si>
    <t>129.6</t>
  </si>
  <si>
    <t>135.9</t>
  </si>
  <si>
    <t>144.1</t>
  </si>
  <si>
    <t>184.2</t>
  </si>
  <si>
    <t>96.7</t>
  </si>
  <si>
    <t>139.5</t>
  </si>
  <si>
    <t>141.5</t>
  </si>
  <si>
    <t>170.7</t>
  </si>
  <si>
    <t>97.4</t>
  </si>
  <si>
    <t>130.7</t>
  </si>
  <si>
    <t>162.8</t>
  </si>
  <si>
    <t>98.7</t>
  </si>
  <si>
    <t>136.4</t>
  </si>
  <si>
    <t>133.9</t>
  </si>
  <si>
    <t>133.4</t>
  </si>
  <si>
    <t>176.4</t>
  </si>
  <si>
    <t>99.1</t>
  </si>
  <si>
    <t>139.7</t>
  </si>
  <si>
    <t>167.4</t>
  </si>
  <si>
    <t>98.8</t>
  </si>
  <si>
    <t>130.2</t>
  </si>
  <si>
    <t>161.2</t>
  </si>
  <si>
    <t>137</t>
  </si>
  <si>
    <t>135</t>
  </si>
  <si>
    <t>136.3</t>
  </si>
  <si>
    <t>170.3</t>
  </si>
  <si>
    <t>135.4</t>
  </si>
  <si>
    <t>140.6</t>
  </si>
  <si>
    <t>164.3</t>
  </si>
  <si>
    <t>100.9</t>
  </si>
  <si>
    <t>136.5</t>
  </si>
  <si>
    <t>138.1</t>
  </si>
  <si>
    <t>162.7</t>
  </si>
  <si>
    <t>135.5</t>
  </si>
  <si>
    <t>139.3</t>
  </si>
  <si>
    <t>136.8</t>
  </si>
  <si>
    <t>176.9</t>
  </si>
  <si>
    <t>140.4</t>
  </si>
  <si>
    <t>134.8</t>
  </si>
  <si>
    <t>167.5</t>
  </si>
  <si>
    <t>136.7</t>
  </si>
  <si>
    <t>141.8</t>
  </si>
  <si>
    <t>166</t>
  </si>
  <si>
    <t>138.3</t>
  </si>
  <si>
    <t>136</t>
  </si>
  <si>
    <t>133.5</t>
  </si>
  <si>
    <t>151.4</t>
  </si>
  <si>
    <t>182.8</t>
  </si>
  <si>
    <t>134.6</t>
  </si>
  <si>
    <t>142.2</t>
  </si>
  <si>
    <t>171.7</t>
  </si>
  <si>
    <t>137.7</t>
  </si>
  <si>
    <t>152.5</t>
  </si>
  <si>
    <t>169.2</t>
  </si>
  <si>
    <t>139.2</t>
  </si>
  <si>
    <t>137.2</t>
  </si>
  <si>
    <t>143.9</t>
  </si>
  <si>
    <t>173.7</t>
  </si>
  <si>
    <t>184.4</t>
  </si>
  <si>
    <t>142.8</t>
  </si>
  <si>
    <t>136.9</t>
  </si>
  <si>
    <t>142.7</t>
  </si>
  <si>
    <t>159.7</t>
  </si>
  <si>
    <t>138.7</t>
  </si>
  <si>
    <t>138.5</t>
  </si>
  <si>
    <t>158.2</t>
  </si>
  <si>
    <t>171.8</t>
  </si>
  <si>
    <t>139.9</t>
  </si>
  <si>
    <t>138</t>
  </si>
  <si>
    <t>130</t>
  </si>
  <si>
    <t>144.2</t>
  </si>
  <si>
    <t>136.6</t>
  </si>
  <si>
    <t>179.5</t>
  </si>
  <si>
    <t>188.4</t>
  </si>
  <si>
    <t>139.8</t>
  </si>
  <si>
    <t>142.9</t>
  </si>
  <si>
    <t>141.2</t>
  </si>
  <si>
    <t>137.8</t>
  </si>
  <si>
    <t>177.4</t>
  </si>
  <si>
    <t>138.8</t>
  </si>
  <si>
    <t>138.4</t>
  </si>
  <si>
    <t>140.2</t>
  </si>
  <si>
    <t>156.9</t>
  </si>
  <si>
    <t>172.2</t>
  </si>
  <si>
    <t>134.9</t>
  </si>
  <si>
    <t>140.7</t>
  </si>
  <si>
    <t>163.5</t>
  </si>
  <si>
    <t>182.3</t>
  </si>
  <si>
    <t>144.6</t>
  </si>
  <si>
    <t>159.1</t>
  </si>
  <si>
    <t>175.6</t>
  </si>
  <si>
    <t>170.4</t>
  </si>
  <si>
    <t>152.9</t>
  </si>
  <si>
    <t>173.6</t>
  </si>
  <si>
    <t>135.7</t>
  </si>
  <si>
    <t>136.1</t>
  </si>
  <si>
    <t>150.7</t>
  </si>
  <si>
    <t>149.2</t>
  </si>
  <si>
    <t>170.2</t>
  </si>
  <si>
    <t>142.4</t>
  </si>
  <si>
    <t>140.9</t>
  </si>
  <si>
    <t>139.6</t>
  </si>
  <si>
    <t>155.1</t>
  </si>
  <si>
    <t>175.7</t>
  </si>
  <si>
    <t>145.3</t>
  </si>
  <si>
    <t>144.3</t>
  </si>
  <si>
    <t>151.2</t>
  </si>
  <si>
    <t>172.1</t>
  </si>
  <si>
    <t>141.1</t>
  </si>
  <si>
    <t>136.2</t>
  </si>
  <si>
    <t>170</t>
  </si>
  <si>
    <t>143.1</t>
  </si>
  <si>
    <t>142</t>
  </si>
  <si>
    <t>174.9</t>
  </si>
  <si>
    <t>141.9</t>
  </si>
  <si>
    <t>137.3</t>
  </si>
  <si>
    <t>167.9</t>
  </si>
  <si>
    <t>145</t>
  </si>
  <si>
    <t>168.7</t>
  </si>
  <si>
    <t>142.3</t>
  </si>
  <si>
    <t>161.7</t>
  </si>
  <si>
    <t>144.9</t>
  </si>
  <si>
    <t>141.6</t>
  </si>
  <si>
    <t>145.6</t>
  </si>
  <si>
    <t>159.5</t>
  </si>
  <si>
    <t>143.8</t>
  </si>
  <si>
    <t>144.4</t>
  </si>
  <si>
    <t>143.7</t>
  </si>
  <si>
    <t>146.3</t>
  </si>
  <si>
    <t>152.2</t>
  </si>
  <si>
    <t>143.2</t>
  </si>
  <si>
    <t>148</t>
  </si>
  <si>
    <t>139.4</t>
  </si>
  <si>
    <t>147.5</t>
  </si>
  <si>
    <t>139</t>
  </si>
  <si>
    <t>144.5</t>
  </si>
  <si>
    <t>141.3</t>
  </si>
  <si>
    <t>145.8</t>
  </si>
  <si>
    <t>142.5</t>
  </si>
  <si>
    <t>148.3</t>
  </si>
  <si>
    <t>146.2</t>
  </si>
  <si>
    <t>146.5</t>
  </si>
  <si>
    <t>148.7</t>
  </si>
  <si>
    <t>148.6</t>
  </si>
  <si>
    <t>151.5</t>
  </si>
  <si>
    <t>147.7</t>
  </si>
  <si>
    <t>147.4</t>
  </si>
  <si>
    <t>143.5</t>
  </si>
  <si>
    <t>148.4</t>
  </si>
  <si>
    <t>175.1</t>
  </si>
  <si>
    <t>150.5</t>
  </si>
  <si>
    <t>148.2</t>
  </si>
  <si>
    <t>162.9</t>
  </si>
  <si>
    <t>179.8</t>
  </si>
  <si>
    <t>152.1</t>
  </si>
  <si>
    <t>143.4</t>
  </si>
  <si>
    <t>146.8</t>
  </si>
  <si>
    <t>149.8</t>
  </si>
  <si>
    <t>147.8</t>
  </si>
  <si>
    <t>154.5</t>
  </si>
  <si>
    <t>149.3</t>
  </si>
  <si>
    <t>146.1</t>
  </si>
  <si>
    <t>145.2</t>
  </si>
  <si>
    <t>143</t>
  </si>
  <si>
    <t>160.7</t>
  </si>
  <si>
    <t>156.6</t>
  </si>
  <si>
    <t>147.3</t>
  </si>
  <si>
    <t>150.8</t>
  </si>
  <si>
    <t>157.1</t>
  </si>
  <si>
    <t>150.3</t>
  </si>
  <si>
    <t>147.2</t>
  </si>
  <si>
    <t>173.2</t>
  </si>
  <si>
    <t>154.6</t>
  </si>
  <si>
    <t>162.6</t>
  </si>
  <si>
    <t>151.6</t>
  </si>
  <si>
    <t>168</t>
  </si>
  <si>
    <t>185.2</t>
  </si>
  <si>
    <t>146</t>
  </si>
  <si>
    <t>156.2</t>
  </si>
  <si>
    <t>173.8</t>
  </si>
  <si>
    <t>148.9</t>
  </si>
  <si>
    <t>161</t>
  </si>
  <si>
    <t>145.9</t>
  </si>
  <si>
    <t>163.2</t>
  </si>
  <si>
    <t>157</t>
  </si>
  <si>
    <t>143.3</t>
  </si>
  <si>
    <t>147.9</t>
  </si>
  <si>
    <t>154.7</t>
  </si>
  <si>
    <t>149.4</t>
  </si>
  <si>
    <t>151.7</t>
  </si>
  <si>
    <t>153.3</t>
  </si>
  <si>
    <t>147.1</t>
  </si>
  <si>
    <t>159.3</t>
  </si>
  <si>
    <t>149.6</t>
  </si>
  <si>
    <t>154.9</t>
  </si>
  <si>
    <t>152.8</t>
  </si>
  <si>
    <t>147.6</t>
  </si>
  <si>
    <t>150.4</t>
  </si>
  <si>
    <t>156.3</t>
  </si>
  <si>
    <t>156.4</t>
  </si>
  <si>
    <t>153.8</t>
  </si>
  <si>
    <t>156.1</t>
  </si>
  <si>
    <t>149.1</t>
  </si>
  <si>
    <t>159.2</t>
  </si>
  <si>
    <t>141.4</t>
  </si>
  <si>
    <t>157.5</t>
  </si>
  <si>
    <t>154.3</t>
  </si>
  <si>
    <t>151.3</t>
  </si>
  <si>
    <t>160.3</t>
  </si>
  <si>
    <t>146.6</t>
  </si>
  <si>
    <t>157.9</t>
  </si>
  <si>
    <t>144.7</t>
  </si>
  <si>
    <t>154.1</t>
  </si>
  <si>
    <t>157.3</t>
  </si>
  <si>
    <t>149.7</t>
  </si>
  <si>
    <t>158.3</t>
  </si>
  <si>
    <t>146.4</t>
  </si>
  <si>
    <t>154.8</t>
  </si>
  <si>
    <t>150.6</t>
  </si>
  <si>
    <t>161.4</t>
  </si>
  <si>
    <t>155.9</t>
  </si>
  <si>
    <t>152.3</t>
  </si>
  <si>
    <t>148.8</t>
  </si>
  <si>
    <t>154.4</t>
  </si>
  <si>
    <t>146.9</t>
  </si>
  <si>
    <t>153</t>
  </si>
  <si>
    <t>141.7</t>
  </si>
  <si>
    <t>163.3</t>
  </si>
  <si>
    <t>164</t>
  </si>
  <si>
    <t>161.9</t>
  </si>
  <si>
    <t>150.2</t>
  </si>
  <si>
    <t>152.6</t>
  </si>
  <si>
    <t>164.4</t>
  </si>
  <si>
    <t>151.9</t>
  </si>
  <si>
    <t>162.4</t>
  </si>
  <si>
    <t>163</t>
  </si>
  <si>
    <t>155.8</t>
  </si>
  <si>
    <t>149.9</t>
  </si>
  <si>
    <t>164.7</t>
  </si>
  <si>
    <t>155.5</t>
  </si>
  <si>
    <t>148.5</t>
  </si>
  <si>
    <t>163.4</t>
  </si>
  <si>
    <t>151.1</t>
  </si>
  <si>
    <t>153.9</t>
  </si>
  <si>
    <t>156.7</t>
  </si>
  <si>
    <t>161.6</t>
  </si>
  <si>
    <t>166.2</t>
  </si>
  <si>
    <t>158.5</t>
  </si>
  <si>
    <t>164.1</t>
  </si>
  <si>
    <t>164.2</t>
  </si>
  <si>
    <t>150.9</t>
  </si>
  <si>
    <t>169.8</t>
  </si>
  <si>
    <t>166.7</t>
  </si>
  <si>
    <t>164.5</t>
  </si>
  <si>
    <t>160.2</t>
  </si>
  <si>
    <t>180.1</t>
  </si>
  <si>
    <t>155.6</t>
  </si>
  <si>
    <t>167.2</t>
  </si>
  <si>
    <t>165.2</t>
  </si>
  <si>
    <t>165.1</t>
  </si>
  <si>
    <t>152.7</t>
  </si>
  <si>
    <t>189.1</t>
  </si>
  <si>
    <t>160.6</t>
  </si>
  <si>
    <t>157.2</t>
  </si>
  <si>
    <t>165.7</t>
  </si>
  <si>
    <t>151</t>
  </si>
  <si>
    <t>153.4</t>
  </si>
  <si>
    <t>158.7</t>
  </si>
  <si>
    <t>192.4</t>
  </si>
  <si>
    <t>147</t>
  </si>
  <si>
    <t>166.5</t>
  </si>
  <si>
    <t>178.8</t>
  </si>
  <si>
    <t>157.4</t>
  </si>
  <si>
    <t>166.3</t>
  </si>
  <si>
    <t>153.7</t>
  </si>
  <si>
    <t>159.8</t>
  </si>
  <si>
    <t>207.2</t>
  </si>
  <si>
    <t>169.3</t>
  </si>
  <si>
    <t>167.1</t>
  </si>
  <si>
    <t>155.4</t>
  </si>
  <si>
    <t>163.7</t>
  </si>
  <si>
    <t>191.4</t>
  </si>
  <si>
    <t>215.7</t>
  </si>
  <si>
    <t>169.9</t>
  </si>
  <si>
    <t>199.6</t>
  </si>
  <si>
    <t>209.5</t>
  </si>
  <si>
    <t>167.8</t>
  </si>
  <si>
    <t>231.5</t>
  </si>
  <si>
    <t>165</t>
  </si>
  <si>
    <t>217</t>
  </si>
  <si>
    <t>158</t>
  </si>
  <si>
    <t>155</t>
  </si>
  <si>
    <t>155.7</t>
  </si>
  <si>
    <t>167.3</t>
  </si>
  <si>
    <t>191.5</t>
  </si>
  <si>
    <t>167.6</t>
  </si>
  <si>
    <t>207.8</t>
  </si>
  <si>
    <t>170.8</t>
  </si>
  <si>
    <t>197</t>
  </si>
  <si>
    <t>158.6</t>
  </si>
  <si>
    <t>169.4</t>
  </si>
  <si>
    <t>153.1</t>
  </si>
  <si>
    <t>181.7</t>
  </si>
  <si>
    <t>159</t>
  </si>
  <si>
    <t>172</t>
  </si>
  <si>
    <t>170.1</t>
  </si>
  <si>
    <t>166.8</t>
  </si>
  <si>
    <t>160</t>
  </si>
  <si>
    <t>170.5</t>
  </si>
  <si>
    <t>167</t>
  </si>
  <si>
    <t>173.3</t>
  </si>
  <si>
    <t>180</t>
  </si>
  <si>
    <t>190.3</t>
  </si>
  <si>
    <t>161.8</t>
  </si>
  <si>
    <t>182.4</t>
  </si>
  <si>
    <t>186.7</t>
  </si>
  <si>
    <t>192.7</t>
  </si>
  <si>
    <t>156.5</t>
  </si>
  <si>
    <t>171</t>
  </si>
  <si>
    <t>161.5</t>
  </si>
  <si>
    <t>180.9</t>
  </si>
  <si>
    <t>197.8</t>
  </si>
  <si>
    <t>191.9</t>
  </si>
  <si>
    <t>159.9</t>
  </si>
  <si>
    <t>190.9</t>
  </si>
  <si>
    <t>162.3</t>
  </si>
  <si>
    <t>182.6</t>
  </si>
  <si>
    <t>183.9</t>
  </si>
  <si>
    <t>182.9</t>
  </si>
  <si>
    <t>193.1</t>
  </si>
  <si>
    <t>202</t>
  </si>
  <si>
    <t>161.3</t>
  </si>
  <si>
    <t>188.7</t>
  </si>
  <si>
    <t>187.1</t>
  </si>
  <si>
    <t>186.3</t>
  </si>
  <si>
    <t>200.6</t>
  </si>
  <si>
    <t>182.7</t>
  </si>
  <si>
    <t>162.5</t>
  </si>
  <si>
    <t>193.7</t>
  </si>
  <si>
    <t>164.8</t>
  </si>
  <si>
    <t>226</t>
  </si>
  <si>
    <t>158.1</t>
  </si>
  <si>
    <t>188.9</t>
  </si>
  <si>
    <t>209.2</t>
  </si>
  <si>
    <t>184.3</t>
  </si>
  <si>
    <t>188.6</t>
  </si>
  <si>
    <t>171.6</t>
  </si>
  <si>
    <t>222.2</t>
  </si>
  <si>
    <t>162</t>
  </si>
  <si>
    <t>183.4</t>
  </si>
  <si>
    <t>195.5</t>
  </si>
  <si>
    <t>245.3</t>
  </si>
  <si>
    <t>188.8</t>
  </si>
  <si>
    <t>191</t>
  </si>
  <si>
    <t>230</t>
  </si>
  <si>
    <t>184.8</t>
  </si>
  <si>
    <t>188.5</t>
  </si>
  <si>
    <t>173.4</t>
  </si>
  <si>
    <t>225.2</t>
  </si>
  <si>
    <t>163.6</t>
  </si>
  <si>
    <t>183.6</t>
  </si>
  <si>
    <t>195.7</t>
  </si>
  <si>
    <t>178.3</t>
  </si>
  <si>
    <t>240.9</t>
  </si>
  <si>
    <t>166.1</t>
  </si>
  <si>
    <t>190.2</t>
  </si>
  <si>
    <t>175.3</t>
  </si>
  <si>
    <t>230.5</t>
  </si>
  <si>
    <t>185.4</t>
  </si>
  <si>
    <t>159.4</t>
  </si>
  <si>
    <t>187.5</t>
  </si>
  <si>
    <t>187.8</t>
  </si>
  <si>
    <t>184.6</t>
  </si>
  <si>
    <t>194.8</t>
  </si>
  <si>
    <t>178.4</t>
  </si>
  <si>
    <t>206.8</t>
  </si>
  <si>
    <t>191.8</t>
  </si>
  <si>
    <t>194.2</t>
  </si>
  <si>
    <t>165.6</t>
  </si>
  <si>
    <t>186.5</t>
  </si>
  <si>
    <t>184</t>
  </si>
  <si>
    <t>191.2</t>
  </si>
  <si>
    <t>180.2</t>
  </si>
  <si>
    <t>193.3</t>
  </si>
  <si>
    <t>188.3</t>
  </si>
  <si>
    <t>189.4</t>
  </si>
  <si>
    <t>166.4</t>
  </si>
  <si>
    <t>186.1</t>
  </si>
  <si>
    <t>-</t>
  </si>
  <si>
    <t>157.8</t>
  </si>
  <si>
    <t>197.5</t>
  </si>
  <si>
    <t>193.5</t>
  </si>
  <si>
    <t>192.2</t>
  </si>
  <si>
    <t>163.9</t>
  </si>
  <si>
    <t>188.1</t>
  </si>
  <si>
    <t>175.2</t>
  </si>
  <si>
    <t>186.8</t>
  </si>
  <si>
    <t>202.5</t>
  </si>
  <si>
    <t>168.8</t>
  </si>
  <si>
    <t>171.4</t>
  </si>
  <si>
    <t>194.4</t>
  </si>
  <si>
    <t>198</t>
  </si>
  <si>
    <t>168.9</t>
  </si>
  <si>
    <t>198.5</t>
  </si>
  <si>
    <t>169.7</t>
  </si>
  <si>
    <t>189.6</t>
  </si>
  <si>
    <t>169.1</t>
  </si>
  <si>
    <t>204.3</t>
  </si>
  <si>
    <t>173</t>
  </si>
  <si>
    <t>172.5</t>
  </si>
  <si>
    <t>165.9</t>
  </si>
  <si>
    <t>171.1</t>
  </si>
  <si>
    <t>198.2</t>
  </si>
  <si>
    <t>200.5</t>
  </si>
  <si>
    <t>178.7</t>
  </si>
  <si>
    <t>200.1</t>
  </si>
  <si>
    <t>179.3</t>
  </si>
  <si>
    <t>190.4</t>
  </si>
  <si>
    <t>160.5</t>
  </si>
  <si>
    <t>205.5</t>
  </si>
  <si>
    <t>176.2</t>
  </si>
  <si>
    <t>166.9</t>
  </si>
  <si>
    <t>195.6</t>
  </si>
  <si>
    <t>180.7</t>
  </si>
  <si>
    <t>183.7</t>
  </si>
  <si>
    <t>190.8</t>
  </si>
  <si>
    <t>204.5</t>
  </si>
  <si>
    <t>180.4</t>
  </si>
  <si>
    <t>189.7</t>
  </si>
  <si>
    <t>210.9</t>
  </si>
  <si>
    <t>185</t>
  </si>
  <si>
    <t>170.6</t>
  </si>
  <si>
    <t>170.9</t>
  </si>
  <si>
    <t>186.4</t>
  </si>
  <si>
    <t>173.5</t>
  </si>
  <si>
    <t>182.2</t>
  </si>
  <si>
    <t>182.1</t>
  </si>
  <si>
    <t>168.3</t>
  </si>
  <si>
    <t>160.1</t>
  </si>
  <si>
    <t>202.3</t>
  </si>
  <si>
    <t>176.5</t>
  </si>
  <si>
    <t>171.9</t>
  </si>
  <si>
    <t>163.1</t>
  </si>
  <si>
    <t>207.4</t>
  </si>
  <si>
    <t>174.1</t>
  </si>
  <si>
    <t>175</t>
  </si>
  <si>
    <t>183.3</t>
  </si>
  <si>
    <t>196.5</t>
  </si>
  <si>
    <t>204</t>
  </si>
  <si>
    <t>172.8</t>
  </si>
  <si>
    <t>188</t>
  </si>
  <si>
    <t>173.9</t>
  </si>
  <si>
    <t>192.1</t>
  </si>
  <si>
    <t>168.4</t>
  </si>
  <si>
    <t>202.1</t>
  </si>
  <si>
    <t>190.5</t>
  </si>
  <si>
    <t>167.7</t>
  </si>
  <si>
    <t>198.8</t>
  </si>
  <si>
    <t>169</t>
  </si>
  <si>
    <t>208.4</t>
  </si>
  <si>
    <t>176.6</t>
  </si>
  <si>
    <t>214.4</t>
  </si>
  <si>
    <t>175.9</t>
  </si>
  <si>
    <t>204.6</t>
  </si>
  <si>
    <t>190.6</t>
  </si>
  <si>
    <t>185.3</t>
  </si>
  <si>
    <t>174.7</t>
  </si>
  <si>
    <t>199.8</t>
  </si>
  <si>
    <t>198.4</t>
  </si>
  <si>
    <t>204.9</t>
  </si>
  <si>
    <t>175.4</t>
  </si>
  <si>
    <t>175.8</t>
  </si>
  <si>
    <t>229.1</t>
  </si>
  <si>
    <t>176.8</t>
  </si>
  <si>
    <t>201.6</t>
  </si>
  <si>
    <t>199.2</t>
  </si>
  <si>
    <t>169.6</t>
  </si>
  <si>
    <t>175.5</t>
  </si>
  <si>
    <t>192.9</t>
  </si>
  <si>
    <t>195.8</t>
  </si>
  <si>
    <t>172.3</t>
  </si>
  <si>
    <t>174</t>
  </si>
  <si>
    <t>202.2</t>
  </si>
  <si>
    <t>219.5</t>
  </si>
  <si>
    <t>178.2</t>
  </si>
  <si>
    <t>196.8</t>
  </si>
  <si>
    <t>177.9</t>
  </si>
  <si>
    <t>187.6</t>
  </si>
  <si>
    <t>196.9</t>
  </si>
  <si>
    <t>178</t>
  </si>
  <si>
    <t>192.6</t>
  </si>
  <si>
    <t>190.7</t>
  </si>
  <si>
    <t>172.7</t>
  </si>
  <si>
    <t>166.6</t>
  </si>
  <si>
    <t>203.6</t>
  </si>
  <si>
    <t>179</t>
  </si>
  <si>
    <t>196.4</t>
  </si>
  <si>
    <t>198.7</t>
  </si>
  <si>
    <t>184.7</t>
  </si>
  <si>
    <t>177.3</t>
  </si>
  <si>
    <t>198.1</t>
  </si>
  <si>
    <t>176.3</t>
  </si>
  <si>
    <t>205.2</t>
  </si>
  <si>
    <t>184.9</t>
  </si>
  <si>
    <t>208</t>
  </si>
  <si>
    <t>203.1</t>
  </si>
  <si>
    <t>192.3</t>
  </si>
  <si>
    <t>176</t>
  </si>
  <si>
    <t>215.8</t>
  </si>
  <si>
    <t>181.5</t>
  </si>
  <si>
    <t>210.7</t>
  </si>
  <si>
    <t>194.6</t>
  </si>
  <si>
    <t>209.7</t>
  </si>
  <si>
    <t>178.9</t>
  </si>
  <si>
    <t>177.5</t>
  </si>
  <si>
    <t>177.1</t>
  </si>
  <si>
    <t>186</t>
  </si>
  <si>
    <t>174.5</t>
  </si>
  <si>
    <t>197.1</t>
  </si>
  <si>
    <t>211.8</t>
  </si>
  <si>
    <t>199.5</t>
  </si>
  <si>
    <t>172.6</t>
  </si>
  <si>
    <t>181.3</t>
  </si>
  <si>
    <t>193.9</t>
  </si>
  <si>
    <t>214.7</t>
  </si>
  <si>
    <t>209.9</t>
  </si>
  <si>
    <t>186.6</t>
  </si>
  <si>
    <t>177.2</t>
  </si>
  <si>
    <t>177.7</t>
  </si>
  <si>
    <t>221.2</t>
  </si>
  <si>
    <t>189.5</t>
  </si>
  <si>
    <t>203.2</t>
  </si>
  <si>
    <t>181.4</t>
  </si>
  <si>
    <t>202.4</t>
  </si>
  <si>
    <t>182.5</t>
  </si>
  <si>
    <t>194.1</t>
  </si>
  <si>
    <t>174.6</t>
  </si>
  <si>
    <t>174.8</t>
  </si>
  <si>
    <t>217.2</t>
  </si>
  <si>
    <t>208.1</t>
  </si>
  <si>
    <t>174.2</t>
  </si>
  <si>
    <t>176.7</t>
  </si>
  <si>
    <t>169.5</t>
  </si>
  <si>
    <t>223.4</t>
  </si>
  <si>
    <t>211.5</t>
  </si>
  <si>
    <t>198.3</t>
  </si>
  <si>
    <t>219.4</t>
  </si>
  <si>
    <t>200.9</t>
  </si>
  <si>
    <t>194.3</t>
  </si>
  <si>
    <t>210.8</t>
  </si>
  <si>
    <t>193.2</t>
  </si>
  <si>
    <t>182</t>
  </si>
  <si>
    <t>180.3</t>
  </si>
  <si>
    <t>179.6</t>
  </si>
  <si>
    <t>171.3</t>
  </si>
  <si>
    <t>217.1</t>
  </si>
  <si>
    <t>208.5</t>
  </si>
  <si>
    <t>187.7</t>
  </si>
  <si>
    <t>179.4</t>
  </si>
  <si>
    <t>198.6</t>
  </si>
  <si>
    <t>213</t>
  </si>
  <si>
    <t>190</t>
  </si>
  <si>
    <t>176.1</t>
  </si>
  <si>
    <t>204.1</t>
  </si>
  <si>
    <t>173.1</t>
  </si>
  <si>
    <t>183.2</t>
  </si>
  <si>
    <t>183</t>
  </si>
  <si>
    <t>179.1</t>
  </si>
  <si>
    <t>213.1</t>
  </si>
  <si>
    <t>206.5</t>
  </si>
  <si>
    <t>168.1</t>
  </si>
  <si>
    <t>172.9</t>
  </si>
  <si>
    <t>193.6</t>
  </si>
  <si>
    <t>195</t>
  </si>
  <si>
    <t>178.5</t>
  </si>
  <si>
    <t>206.7</t>
  </si>
  <si>
    <t>199.1</t>
  </si>
  <si>
    <t>194.5</t>
  </si>
  <si>
    <t>184.5</t>
  </si>
  <si>
    <t>179.7</t>
  </si>
  <si>
    <t>213.7</t>
  </si>
  <si>
    <t>220.8</t>
  </si>
  <si>
    <t>181.8</t>
  </si>
  <si>
    <t>199.7</t>
  </si>
  <si>
    <t>179.2</t>
  </si>
  <si>
    <t>197.3</t>
  </si>
  <si>
    <t>187.4</t>
  </si>
  <si>
    <t>177.8</t>
  </si>
  <si>
    <t>195.9</t>
  </si>
  <si>
    <t>179.9</t>
  </si>
  <si>
    <t>208.8</t>
  </si>
  <si>
    <t>185.6</t>
  </si>
  <si>
    <t>194.9</t>
  </si>
  <si>
    <t>185.9</t>
  </si>
  <si>
    <t>180.8</t>
  </si>
  <si>
    <t>174.4</t>
  </si>
  <si>
    <t>181.2</t>
  </si>
  <si>
    <t>214.9</t>
  </si>
  <si>
    <t>228.6</t>
  </si>
  <si>
    <t>199.9</t>
  </si>
  <si>
    <t>196.3</t>
  </si>
  <si>
    <t>181</t>
  </si>
  <si>
    <t>180.5</t>
  </si>
  <si>
    <t>194</t>
  </si>
  <si>
    <t>204.8</t>
  </si>
  <si>
    <t>186.9</t>
  </si>
  <si>
    <t>213.4</t>
  </si>
  <si>
    <t>209.4</t>
  </si>
  <si>
    <t>202.8</t>
  </si>
  <si>
    <t>206.9</t>
  </si>
  <si>
    <t>207.5</t>
  </si>
  <si>
    <t>212.9</t>
  </si>
  <si>
    <t>178.6</t>
  </si>
  <si>
    <t>201.1</t>
  </si>
  <si>
    <t>180.6</t>
  </si>
  <si>
    <t>209</t>
  </si>
  <si>
    <t>181.1</t>
  </si>
  <si>
    <t>208.3</t>
  </si>
  <si>
    <t>210.5</t>
  </si>
  <si>
    <t>189</t>
  </si>
  <si>
    <t>215.2</t>
  </si>
  <si>
    <t>177.6</t>
  </si>
  <si>
    <t>183.8</t>
  </si>
  <si>
    <t>212.1</t>
  </si>
  <si>
    <t>189.9</t>
  </si>
  <si>
    <t>187</t>
  </si>
  <si>
    <t>181.6</t>
  </si>
  <si>
    <t>212.2</t>
  </si>
  <si>
    <t>196.6</t>
  </si>
  <si>
    <t>202.7</t>
  </si>
  <si>
    <t>207.7</t>
  </si>
  <si>
    <t>193</t>
  </si>
  <si>
    <t>186.2</t>
  </si>
  <si>
    <t>185.1</t>
  </si>
  <si>
    <t>215.5</t>
  </si>
  <si>
    <t>187.3</t>
  </si>
  <si>
    <t>203.5</t>
  </si>
  <si>
    <t>209.3</t>
  </si>
  <si>
    <t>185.7</t>
  </si>
  <si>
    <t>221</t>
  </si>
  <si>
    <t>191.1</t>
  </si>
  <si>
    <t>187.9</t>
  </si>
  <si>
    <t>211.9</t>
  </si>
  <si>
    <t>197.7</t>
  </si>
  <si>
    <t>204.2</t>
  </si>
  <si>
    <t>214.3</t>
  </si>
  <si>
    <t>218</t>
  </si>
  <si>
    <t>201</t>
  </si>
  <si>
    <t xml:space="preserve">1. Which broader category contributes highest towards CPI calculation </t>
  </si>
  <si>
    <t xml:space="preserve">Food and Drinks </t>
  </si>
  <si>
    <t xml:space="preserve">Education </t>
  </si>
  <si>
    <t xml:space="preserve">Personal care and amusements </t>
  </si>
  <si>
    <t>Clothing and Footware</t>
  </si>
  <si>
    <t xml:space="preserve">Housing </t>
  </si>
  <si>
    <t xml:space="preserve">Transportation </t>
  </si>
  <si>
    <t>Food and Drink</t>
  </si>
  <si>
    <t xml:space="preserve">Personal care and amusement </t>
  </si>
  <si>
    <t>Transportation and Com.</t>
  </si>
  <si>
    <t>Health2</t>
  </si>
  <si>
    <t>Education2</t>
  </si>
  <si>
    <t xml:space="preserve">## Total highest contribution to CPI for latest end of the month </t>
  </si>
  <si>
    <t>2. A trend of Y-o-Y increase in CPI (Rural + Urban) Inflation starting 2017 for the Entire basket of products combined.</t>
  </si>
  <si>
    <t>Row Labels</t>
  </si>
  <si>
    <t>Grand Total</t>
  </si>
  <si>
    <t>YOY Growth</t>
  </si>
  <si>
    <t xml:space="preserve"> Food and Drink</t>
  </si>
  <si>
    <t>Years</t>
  </si>
  <si>
    <t>Cal. Of YOY growth = (CPI index of current year - CPI index of Previous year)/CPI index of Previous year</t>
  </si>
  <si>
    <t>Insights</t>
  </si>
  <si>
    <t xml:space="preserve">&gt; CPI increase for the Year 2021 is greater and has increased significantly </t>
  </si>
  <si>
    <t>Entire basket combined</t>
  </si>
  <si>
    <t>Sum of Entire basket combined</t>
  </si>
  <si>
    <t xml:space="preserve">CPI combined </t>
  </si>
  <si>
    <t>Y-O-Y Growth</t>
  </si>
  <si>
    <t xml:space="preserve">&gt; Year 2021 saw the greatest increase in Inflation due to COVID-19 in 2020 </t>
  </si>
  <si>
    <t>&gt; Transportation and Fuel shot up upto 33% when compared with 20202</t>
  </si>
  <si>
    <t xml:space="preserve">3. With India's retail inflation reaching a 3-Month high of 5.55% in Nov 2023, Largely due to sharp rise in food prices </t>
  </si>
  <si>
    <t xml:space="preserve">M-O-M Growth </t>
  </si>
  <si>
    <t xml:space="preserve">** Month on Month Change of the inflation from May 2022 to May 2023 </t>
  </si>
  <si>
    <t>Identify Absolute Changes and Biggest Contributor in Food Inflation</t>
  </si>
  <si>
    <t xml:space="preserve">&gt; Spices contributed the most towards the high inflation under the foods category </t>
  </si>
  <si>
    <t xml:space="preserve">MOM Change </t>
  </si>
  <si>
    <t xml:space="preserve">MOM change </t>
  </si>
  <si>
    <t>## =IF(A2="Rural", VLOOKUP("Urban", $A$2:$T$373, 21, FALSE), U2)</t>
  </si>
  <si>
    <t>** 1st lockdown date - 25 March, 2020 to 31 May, 2020</t>
  </si>
  <si>
    <t>** 2nd lockdown date - 5 April, 2021 to 15 June, 2021</t>
  </si>
  <si>
    <t xml:space="preserve">&gt; There was 5.7% increase in Food and Drinks prices during covid 19 first lockdown </t>
  </si>
  <si>
    <t>&gt; Once lockdown was relaxed in May the prices were down by 1.4%</t>
  </si>
  <si>
    <t xml:space="preserve">&gt; Also the prices of oil, fuel and transportation were decreased by 1.5% due to low demand in the market </t>
  </si>
  <si>
    <t xml:space="preserve">&gt; Once the markets were opened in June the prices shot up by 5.3% </t>
  </si>
  <si>
    <t xml:space="preserve">&gt; Health CPI was decresed by nearly 1.5% month on month from April and May during the lockdown </t>
  </si>
  <si>
    <t xml:space="preserve">&gt; Education did not see any sharp increase or decrease during the Covid lockdown but it was slightly increased by 1.3% once the lowkdown phase was completely relaxed </t>
  </si>
  <si>
    <t xml:space="preserve">&gt; Health CPI was increased during June once the first lockdown period was relaxed because people started coming out of there homes  </t>
  </si>
  <si>
    <t xml:space="preserve">imputing housing </t>
  </si>
  <si>
    <t xml:space="preserve">&gt;May 2022 and June 2022 saw the highest inflation for food and drinks </t>
  </si>
  <si>
    <t xml:space="preserve">&gt;Dec 2022 and Feb 2023 saw the lowest inflation @ -0.5% for foods and drinks </t>
  </si>
  <si>
    <t>Crude Oil FOB Price (Indian Basket)</t>
  </si>
  <si>
    <t>** Source of data Petroleum Planning &amp; Analysis Cell</t>
  </si>
  <si>
    <t>Apr 2021 - March 2022</t>
  </si>
  <si>
    <t xml:space="preserve">April 2022 - March 2023 </t>
  </si>
  <si>
    <t>Price</t>
  </si>
  <si>
    <t xml:space="preserve">Corealtion </t>
  </si>
  <si>
    <t>** Insights **</t>
  </si>
  <si>
    <t>** Change in crude oil prices from April 2021 - March 2023</t>
  </si>
  <si>
    <t xml:space="preserve">Years </t>
  </si>
  <si>
    <t xml:space="preserve">&gt; Year 2019 saw the greatest increase in Inflation at 8% </t>
  </si>
  <si>
    <t xml:space="preserve">Y-O-Y Growth in Inflation from Jan 2017 - Dec 2022 for Rural + Urban </t>
  </si>
  <si>
    <t xml:space="preserve">&gt; Change in crude oil prices is </t>
  </si>
  <si>
    <t>## Total highest contribution to CPI for latest end of the month</t>
  </si>
  <si>
    <t>Total</t>
  </si>
  <si>
    <t xml:space="preserve">Sector </t>
  </si>
  <si>
    <t xml:space="preserve">% change </t>
  </si>
  <si>
    <t xml:space="preserve">Month on Month change in CPI index before and after the onset of covid in 2020 </t>
  </si>
  <si>
    <t>Food &amp; Drink</t>
  </si>
  <si>
    <t>4. Investigate how the onset and progression of the COVID-19 PANDEMIC AFFECTED INFLATION RATES IN INDIA.</t>
  </si>
  <si>
    <t>Clothing &amp; Footware</t>
  </si>
  <si>
    <t>5. Investigate how major global economic events (like imported crude oil price fluctuations) have influenced India's inflation.</t>
  </si>
  <si>
    <t xml:space="preserve">&gt; For every 100% increase in Crude oil price there is a 60% increase in the cost of transportation and  communication basket and 50% increase in the cost of foods and drinks </t>
  </si>
  <si>
    <t xml:space="preserve">ANALYSIS OF INDIA'S CPI INFLATION DATA </t>
  </si>
  <si>
    <t xml:space="preserve">&gt; Food and Drink contributed highest to CPI Index with 61% of total CPI for the month of May, 2023 </t>
  </si>
  <si>
    <t>**Rural and Urban sector have similar contribution so just included rural+urban</t>
  </si>
  <si>
    <t>Government policies, Money supply, Consumer spending, Employment levels, High disposable income, Wage levels, and Interest rates.</t>
  </si>
  <si>
    <t>&gt; Some other factors that can impact inflation in India include: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</si>
</sst>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mmmm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u/>
      <sz val="14"/>
      <name val="Times New Roman"/>
      <family val="1"/>
    </font>
    <font>
      <b/>
      <u/>
      <sz val="12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-0.249977111117893"/>
        <bgColor theme="9"/>
      </patternFill>
    </fill>
    <fill>
      <patternFill patternType="solid">
        <fgColor theme="1" tint="0.499984740745262"/>
        <bgColor theme="9"/>
      </patternFill>
    </fill>
    <fill>
      <patternFill patternType="solid">
        <fgColor theme="1" tint="0.249977111117893"/>
        <bgColor theme="9"/>
      </patternFill>
    </fill>
    <fill>
      <patternFill patternType="solid">
        <fgColor theme="4" tint="0.59999389629810485"/>
        <bgColor theme="9"/>
      </patternFill>
    </fill>
    <fill>
      <patternFill patternType="solid">
        <fgColor theme="6" tint="0.79998168889431442"/>
        <bgColor theme="9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3" applyNumberFormat="0" applyFill="0" applyAlignment="0" applyProtection="0"/>
    <xf numFmtId="0" fontId="1" fillId="20" borderId="0" applyNumberFormat="0" applyBorder="0" applyAlignment="0" applyProtection="0"/>
    <xf numFmtId="0" fontId="8" fillId="0" borderId="0"/>
  </cellStyleXfs>
  <cellXfs count="150">
    <xf numFmtId="0" fontId="0" fillId="0" borderId="0" xfId="0"/>
    <xf numFmtId="0" fontId="2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2" fillId="4" borderId="2" xfId="0" applyFont="1" applyFill="1" applyBorder="1"/>
    <xf numFmtId="0" fontId="2" fillId="5" borderId="2" xfId="0" applyFont="1" applyFill="1" applyBorder="1"/>
    <xf numFmtId="2" fontId="0" fillId="3" borderId="2" xfId="0" applyNumberFormat="1" applyFill="1" applyBorder="1"/>
    <xf numFmtId="2" fontId="0" fillId="0" borderId="2" xfId="0" applyNumberFormat="1" applyBorder="1"/>
    <xf numFmtId="2" fontId="0" fillId="0" borderId="0" xfId="0" applyNumberFormat="1"/>
    <xf numFmtId="0" fontId="0" fillId="0" borderId="0" xfId="0" pivotButton="1"/>
    <xf numFmtId="0" fontId="2" fillId="6" borderId="2" xfId="0" applyFont="1" applyFill="1" applyBorder="1"/>
    <xf numFmtId="0" fontId="3" fillId="7" borderId="2" xfId="0" applyFont="1" applyFill="1" applyBorder="1"/>
    <xf numFmtId="0" fontId="3" fillId="8" borderId="2" xfId="0" applyFont="1" applyFill="1" applyBorder="1"/>
    <xf numFmtId="0" fontId="0" fillId="0" borderId="1" xfId="0" applyBorder="1"/>
    <xf numFmtId="0" fontId="0" fillId="3" borderId="1" xfId="0" applyFill="1" applyBorder="1"/>
    <xf numFmtId="0" fontId="2" fillId="9" borderId="2" xfId="0" applyFont="1" applyFill="1" applyBorder="1"/>
    <xf numFmtId="9" fontId="0" fillId="0" borderId="0" xfId="1" applyFont="1"/>
    <xf numFmtId="0" fontId="2" fillId="10" borderId="2" xfId="0" applyFont="1" applyFill="1" applyBorder="1"/>
    <xf numFmtId="0" fontId="0" fillId="11" borderId="0" xfId="0" applyFill="1"/>
    <xf numFmtId="0" fontId="0" fillId="12" borderId="2" xfId="0" applyFill="1" applyBorder="1"/>
    <xf numFmtId="0" fontId="0" fillId="11" borderId="2" xfId="0" applyFill="1" applyBorder="1"/>
    <xf numFmtId="0" fontId="4" fillId="13" borderId="0" xfId="0" applyFont="1" applyFill="1"/>
    <xf numFmtId="164" fontId="0" fillId="3" borderId="2" xfId="0" applyNumberFormat="1" applyFill="1" applyBorder="1"/>
    <xf numFmtId="9" fontId="0" fillId="3" borderId="2" xfId="1" applyFont="1" applyFill="1" applyBorder="1"/>
    <xf numFmtId="0" fontId="0" fillId="0" borderId="0" xfId="0" applyAlignment="1">
      <alignment horizontal="left"/>
    </xf>
    <xf numFmtId="165" fontId="0" fillId="0" borderId="0" xfId="1" applyNumberFormat="1" applyFont="1"/>
    <xf numFmtId="0" fontId="0" fillId="0" borderId="4" xfId="0" applyBorder="1"/>
    <xf numFmtId="9" fontId="0" fillId="0" borderId="4" xfId="1" applyFont="1" applyBorder="1"/>
    <xf numFmtId="0" fontId="5" fillId="0" borderId="3" xfId="2"/>
    <xf numFmtId="0" fontId="0" fillId="16" borderId="4" xfId="0" applyFill="1" applyBorder="1" applyAlignment="1">
      <alignment horizontal="center"/>
    </xf>
    <xf numFmtId="0" fontId="0" fillId="16" borderId="4" xfId="0" applyFill="1" applyBorder="1" applyAlignment="1">
      <alignment horizontal="center" vertical="center"/>
    </xf>
    <xf numFmtId="9" fontId="0" fillId="16" borderId="4" xfId="1" applyFont="1" applyFill="1" applyBorder="1" applyAlignment="1">
      <alignment horizontal="center"/>
    </xf>
    <xf numFmtId="0" fontId="0" fillId="16" borderId="4" xfId="0" applyFill="1" applyBorder="1"/>
    <xf numFmtId="0" fontId="0" fillId="14" borderId="4" xfId="0" applyFill="1" applyBorder="1"/>
    <xf numFmtId="0" fontId="6" fillId="0" borderId="0" xfId="0" applyFont="1"/>
    <xf numFmtId="165" fontId="0" fillId="0" borderId="4" xfId="1" applyNumberFormat="1" applyFont="1" applyBorder="1"/>
    <xf numFmtId="0" fontId="6" fillId="16" borderId="4" xfId="0" applyFont="1" applyFill="1" applyBorder="1" applyAlignment="1">
      <alignment horizontal="center"/>
    </xf>
    <xf numFmtId="9" fontId="0" fillId="11" borderId="4" xfId="1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9" fontId="0" fillId="11" borderId="5" xfId="1" applyFont="1" applyFill="1" applyBorder="1" applyAlignment="1">
      <alignment horizontal="center"/>
    </xf>
    <xf numFmtId="9" fontId="0" fillId="0" borderId="4" xfId="0" applyNumberFormat="1" applyBorder="1"/>
    <xf numFmtId="2" fontId="0" fillId="0" borderId="4" xfId="0" applyNumberFormat="1" applyBorder="1"/>
    <xf numFmtId="0" fontId="0" fillId="18" borderId="0" xfId="0" applyFill="1"/>
    <xf numFmtId="164" fontId="0" fillId="18" borderId="0" xfId="0" applyNumberFormat="1" applyFill="1"/>
    <xf numFmtId="164" fontId="0" fillId="14" borderId="4" xfId="0" applyNumberFormat="1" applyFill="1" applyBorder="1"/>
    <xf numFmtId="164" fontId="0" fillId="0" borderId="4" xfId="0" applyNumberFormat="1" applyBorder="1"/>
    <xf numFmtId="0" fontId="2" fillId="2" borderId="1" xfId="0" applyFont="1" applyFill="1" applyBorder="1"/>
    <xf numFmtId="0" fontId="2" fillId="2" borderId="6" xfId="0" applyFont="1" applyFill="1" applyBorder="1"/>
    <xf numFmtId="0" fontId="0" fillId="3" borderId="6" xfId="0" applyFill="1" applyBorder="1"/>
    <xf numFmtId="0" fontId="0" fillId="0" borderId="6" xfId="0" applyBorder="1"/>
    <xf numFmtId="0" fontId="7" fillId="19" borderId="4" xfId="0" applyFont="1" applyFill="1" applyBorder="1" applyAlignment="1">
      <alignment horizontal="center"/>
    </xf>
    <xf numFmtId="0" fontId="6" fillId="19" borderId="4" xfId="0" applyFont="1" applyFill="1" applyBorder="1" applyAlignment="1">
      <alignment horizontal="center"/>
    </xf>
    <xf numFmtId="0" fontId="1" fillId="20" borderId="4" xfId="3" applyBorder="1"/>
    <xf numFmtId="165" fontId="1" fillId="20" borderId="4" xfId="3" applyNumberFormat="1" applyBorder="1"/>
    <xf numFmtId="164" fontId="1" fillId="20" borderId="4" xfId="3" applyNumberFormat="1" applyBorder="1"/>
    <xf numFmtId="0" fontId="1" fillId="21" borderId="4" xfId="3" applyFill="1" applyBorder="1"/>
    <xf numFmtId="165" fontId="1" fillId="21" borderId="4" xfId="3" applyNumberFormat="1" applyFill="1" applyBorder="1"/>
    <xf numFmtId="164" fontId="1" fillId="21" borderId="4" xfId="3" applyNumberFormat="1" applyFill="1" applyBorder="1"/>
    <xf numFmtId="0" fontId="0" fillId="21" borderId="4" xfId="0" applyFill="1" applyBorder="1"/>
    <xf numFmtId="165" fontId="0" fillId="21" borderId="4" xfId="1" applyNumberFormat="1" applyFont="1" applyFill="1" applyBorder="1"/>
    <xf numFmtId="164" fontId="0" fillId="21" borderId="4" xfId="0" applyNumberFormat="1" applyFill="1" applyBorder="1"/>
    <xf numFmtId="0" fontId="6" fillId="15" borderId="4" xfId="0" applyFont="1" applyFill="1" applyBorder="1" applyAlignment="1">
      <alignment horizontal="center"/>
    </xf>
    <xf numFmtId="0" fontId="7" fillId="17" borderId="4" xfId="0" applyFont="1" applyFill="1" applyBorder="1" applyAlignment="1">
      <alignment horizontal="center"/>
    </xf>
    <xf numFmtId="0" fontId="6" fillId="17" borderId="4" xfId="0" applyFont="1" applyFill="1" applyBorder="1" applyAlignment="1">
      <alignment horizontal="center"/>
    </xf>
    <xf numFmtId="166" fontId="9" fillId="23" borderId="4" xfId="4" applyNumberFormat="1" applyFont="1" applyFill="1" applyBorder="1" applyAlignment="1">
      <alignment horizontal="center" vertical="center"/>
    </xf>
    <xf numFmtId="166" fontId="9" fillId="0" borderId="4" xfId="4" quotePrefix="1" applyNumberFormat="1" applyFont="1" applyBorder="1" applyAlignment="1">
      <alignment horizontal="center" vertical="center"/>
    </xf>
    <xf numFmtId="166" fontId="9" fillId="24" borderId="4" xfId="4" quotePrefix="1" applyNumberFormat="1" applyFont="1" applyFill="1" applyBorder="1" applyAlignment="1">
      <alignment horizontal="center" vertical="center"/>
    </xf>
    <xf numFmtId="166" fontId="9" fillId="24" borderId="4" xfId="4" applyNumberFormat="1" applyFont="1" applyFill="1" applyBorder="1" applyAlignment="1">
      <alignment horizontal="right" vertical="center"/>
    </xf>
    <xf numFmtId="166" fontId="9" fillId="13" borderId="4" xfId="4" applyNumberFormat="1" applyFont="1" applyFill="1" applyBorder="1" applyAlignment="1">
      <alignment horizontal="right" vertical="center"/>
    </xf>
    <xf numFmtId="4" fontId="10" fillId="25" borderId="4" xfId="0" applyNumberFormat="1" applyFont="1" applyFill="1" applyBorder="1" applyAlignment="1">
      <alignment horizontal="right" vertical="center"/>
    </xf>
    <xf numFmtId="0" fontId="0" fillId="26" borderId="4" xfId="0" applyFill="1" applyBorder="1" applyAlignment="1">
      <alignment horizontal="center"/>
    </xf>
    <xf numFmtId="9" fontId="0" fillId="26" borderId="4" xfId="1" applyFont="1" applyFill="1" applyBorder="1" applyAlignment="1">
      <alignment horizontal="center"/>
    </xf>
    <xf numFmtId="0" fontId="0" fillId="9" borderId="4" xfId="0" applyFill="1" applyBorder="1"/>
    <xf numFmtId="0" fontId="6" fillId="26" borderId="0" xfId="0" applyFont="1" applyFill="1" applyAlignment="1">
      <alignment horizontal="center"/>
    </xf>
    <xf numFmtId="4" fontId="10" fillId="25" borderId="4" xfId="0" applyNumberFormat="1" applyFont="1" applyFill="1" applyBorder="1" applyAlignment="1">
      <alignment horizontal="center" vertical="center"/>
    </xf>
    <xf numFmtId="0" fontId="0" fillId="25" borderId="4" xfId="0" applyFill="1" applyBorder="1"/>
    <xf numFmtId="9" fontId="10" fillId="25" borderId="4" xfId="1" applyFont="1" applyFill="1" applyBorder="1" applyAlignment="1">
      <alignment horizontal="right" vertical="center"/>
    </xf>
    <xf numFmtId="165" fontId="0" fillId="25" borderId="4" xfId="1" applyNumberFormat="1" applyFont="1" applyFill="1" applyBorder="1"/>
    <xf numFmtId="164" fontId="0" fillId="18" borderId="6" xfId="0" applyNumberFormat="1" applyFill="1" applyBorder="1"/>
    <xf numFmtId="0" fontId="11" fillId="22" borderId="0" xfId="4" applyFont="1" applyFill="1" applyAlignment="1">
      <alignment horizontal="center" vertical="center"/>
    </xf>
    <xf numFmtId="0" fontId="0" fillId="0" borderId="0" xfId="0" applyAlignment="1">
      <alignment horizontal="right" vertical="center" textRotation="90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7" borderId="0" xfId="0" applyFill="1"/>
    <xf numFmtId="0" fontId="0" fillId="27" borderId="4" xfId="0" applyFill="1" applyBorder="1"/>
    <xf numFmtId="0" fontId="6" fillId="27" borderId="0" xfId="0" applyFont="1" applyFill="1"/>
    <xf numFmtId="0" fontId="0" fillId="16" borderId="0" xfId="0" applyFill="1"/>
    <xf numFmtId="0" fontId="5" fillId="27" borderId="3" xfId="2" applyFill="1"/>
    <xf numFmtId="0" fontId="6" fillId="27" borderId="4" xfId="0" applyFont="1" applyFill="1" applyBorder="1" applyAlignment="1">
      <alignment horizontal="center"/>
    </xf>
    <xf numFmtId="164" fontId="0" fillId="27" borderId="4" xfId="0" applyNumberFormat="1" applyFill="1" applyBorder="1"/>
    <xf numFmtId="9" fontId="0" fillId="27" borderId="4" xfId="1" applyFont="1" applyFill="1" applyBorder="1"/>
    <xf numFmtId="0" fontId="0" fillId="24" borderId="0" xfId="0" applyFill="1"/>
    <xf numFmtId="0" fontId="6" fillId="24" borderId="0" xfId="0" applyFont="1" applyFill="1"/>
    <xf numFmtId="0" fontId="0" fillId="28" borderId="0" xfId="0" applyFill="1"/>
    <xf numFmtId="0" fontId="0" fillId="28" borderId="4" xfId="0" applyFill="1" applyBorder="1"/>
    <xf numFmtId="2" fontId="0" fillId="28" borderId="4" xfId="0" applyNumberFormat="1" applyFill="1" applyBorder="1"/>
    <xf numFmtId="164" fontId="0" fillId="28" borderId="4" xfId="0" applyNumberFormat="1" applyFill="1" applyBorder="1"/>
    <xf numFmtId="165" fontId="0" fillId="28" borderId="4" xfId="1" applyNumberFormat="1" applyFont="1" applyFill="1" applyBorder="1"/>
    <xf numFmtId="0" fontId="1" fillId="29" borderId="4" xfId="3" applyFill="1" applyBorder="1"/>
    <xf numFmtId="165" fontId="1" fillId="29" borderId="4" xfId="3" applyNumberFormat="1" applyFill="1" applyBorder="1"/>
    <xf numFmtId="164" fontId="1" fillId="29" borderId="4" xfId="3" applyNumberFormat="1" applyFill="1" applyBorder="1"/>
    <xf numFmtId="0" fontId="0" fillId="29" borderId="4" xfId="0" applyFill="1" applyBorder="1"/>
    <xf numFmtId="165" fontId="0" fillId="29" borderId="4" xfId="1" applyNumberFormat="1" applyFont="1" applyFill="1" applyBorder="1"/>
    <xf numFmtId="164" fontId="0" fillId="29" borderId="4" xfId="0" applyNumberFormat="1" applyFill="1" applyBorder="1"/>
    <xf numFmtId="0" fontId="6" fillId="30" borderId="4" xfId="0" applyFont="1" applyFill="1" applyBorder="1" applyAlignment="1">
      <alignment horizontal="center"/>
    </xf>
    <xf numFmtId="0" fontId="7" fillId="30" borderId="4" xfId="0" applyFont="1" applyFill="1" applyBorder="1" applyAlignment="1">
      <alignment horizontal="center"/>
    </xf>
    <xf numFmtId="0" fontId="0" fillId="31" borderId="0" xfId="0" applyFill="1"/>
    <xf numFmtId="0" fontId="0" fillId="31" borderId="0" xfId="0" applyFill="1" applyAlignment="1">
      <alignment horizontal="right" vertical="center" textRotation="90"/>
    </xf>
    <xf numFmtId="166" fontId="9" fillId="31" borderId="4" xfId="4" applyNumberFormat="1" applyFont="1" applyFill="1" applyBorder="1" applyAlignment="1">
      <alignment horizontal="center" vertical="center"/>
    </xf>
    <xf numFmtId="166" fontId="9" fillId="31" borderId="4" xfId="4" quotePrefix="1" applyNumberFormat="1" applyFont="1" applyFill="1" applyBorder="1" applyAlignment="1">
      <alignment horizontal="center" vertical="center"/>
    </xf>
    <xf numFmtId="0" fontId="7" fillId="31" borderId="4" xfId="0" applyFont="1" applyFill="1" applyBorder="1" applyAlignment="1">
      <alignment horizontal="center"/>
    </xf>
    <xf numFmtId="0" fontId="6" fillId="31" borderId="4" xfId="0" applyFont="1" applyFill="1" applyBorder="1" applyAlignment="1">
      <alignment horizontal="center"/>
    </xf>
    <xf numFmtId="0" fontId="0" fillId="31" borderId="4" xfId="0" applyFill="1" applyBorder="1"/>
    <xf numFmtId="166" fontId="9" fillId="31" borderId="4" xfId="4" applyNumberFormat="1" applyFont="1" applyFill="1" applyBorder="1" applyAlignment="1">
      <alignment horizontal="right" vertical="center"/>
    </xf>
    <xf numFmtId="4" fontId="10" fillId="31" borderId="4" xfId="0" applyNumberFormat="1" applyFont="1" applyFill="1" applyBorder="1" applyAlignment="1">
      <alignment horizontal="right" vertical="center"/>
    </xf>
    <xf numFmtId="4" fontId="10" fillId="31" borderId="4" xfId="0" applyNumberFormat="1" applyFont="1" applyFill="1" applyBorder="1" applyAlignment="1">
      <alignment horizontal="center" vertical="center"/>
    </xf>
    <xf numFmtId="9" fontId="10" fillId="31" borderId="4" xfId="1" applyFont="1" applyFill="1" applyBorder="1" applyAlignment="1">
      <alignment horizontal="right" vertical="center"/>
    </xf>
    <xf numFmtId="165" fontId="0" fillId="31" borderId="4" xfId="1" applyNumberFormat="1" applyFont="1" applyFill="1" applyBorder="1"/>
    <xf numFmtId="0" fontId="0" fillId="31" borderId="4" xfId="0" applyFill="1" applyBorder="1" applyAlignment="1">
      <alignment horizontal="center"/>
    </xf>
    <xf numFmtId="9" fontId="0" fillId="31" borderId="4" xfId="1" applyFont="1" applyFill="1" applyBorder="1" applyAlignment="1">
      <alignment horizontal="center"/>
    </xf>
    <xf numFmtId="0" fontId="6" fillId="31" borderId="4" xfId="0" applyFont="1" applyFill="1" applyBorder="1"/>
    <xf numFmtId="0" fontId="0" fillId="24" borderId="4" xfId="0" applyFill="1" applyBorder="1"/>
    <xf numFmtId="2" fontId="0" fillId="24" borderId="4" xfId="0" applyNumberFormat="1" applyFill="1" applyBorder="1"/>
    <xf numFmtId="165" fontId="0" fillId="24" borderId="4" xfId="0" applyNumberFormat="1" applyFill="1" applyBorder="1"/>
    <xf numFmtId="0" fontId="12" fillId="16" borderId="0" xfId="0" applyFont="1" applyFill="1"/>
    <xf numFmtId="0" fontId="13" fillId="16" borderId="0" xfId="0" applyFont="1" applyFill="1"/>
    <xf numFmtId="0" fontId="12" fillId="27" borderId="0" xfId="0" applyFont="1" applyFill="1"/>
    <xf numFmtId="0" fontId="13" fillId="27" borderId="0" xfId="0" applyFont="1" applyFill="1"/>
    <xf numFmtId="0" fontId="16" fillId="27" borderId="0" xfId="0" applyFont="1" applyFill="1"/>
    <xf numFmtId="0" fontId="13" fillId="24" borderId="0" xfId="0" applyFont="1" applyFill="1"/>
    <xf numFmtId="0" fontId="18" fillId="24" borderId="0" xfId="0" applyFont="1" applyFill="1"/>
    <xf numFmtId="0" fontId="12" fillId="28" borderId="0" xfId="0" applyFont="1" applyFill="1"/>
    <xf numFmtId="0" fontId="13" fillId="28" borderId="0" xfId="0" applyFont="1" applyFill="1"/>
    <xf numFmtId="0" fontId="17" fillId="28" borderId="0" xfId="0" applyFont="1" applyFill="1"/>
    <xf numFmtId="0" fontId="12" fillId="31" borderId="0" xfId="0" applyFont="1" applyFill="1"/>
    <xf numFmtId="0" fontId="13" fillId="31" borderId="0" xfId="0" applyFont="1" applyFill="1"/>
    <xf numFmtId="0" fontId="19" fillId="31" borderId="0" xfId="4" applyFont="1" applyFill="1" applyAlignment="1">
      <alignment horizontal="center" vertical="center"/>
    </xf>
    <xf numFmtId="0" fontId="20" fillId="31" borderId="0" xfId="0" applyFont="1" applyFill="1"/>
    <xf numFmtId="0" fontId="20" fillId="24" borderId="0" xfId="0" applyFont="1" applyFill="1"/>
    <xf numFmtId="0" fontId="0" fillId="32" borderId="0" xfId="0" applyFill="1" applyAlignment="1">
      <alignment horizontal="center"/>
    </xf>
    <xf numFmtId="0" fontId="14" fillId="32" borderId="0" xfId="0" applyFont="1" applyFill="1" applyAlignment="1">
      <alignment horizontal="left" vertical="center" indent="36"/>
    </xf>
    <xf numFmtId="0" fontId="0" fillId="16" borderId="9" xfId="0" applyFont="1" applyFill="1" applyBorder="1"/>
    <xf numFmtId="0" fontId="0" fillId="16" borderId="9" xfId="0" applyFont="1" applyFill="1" applyBorder="1" applyAlignment="1">
      <alignment horizontal="center"/>
    </xf>
    <xf numFmtId="0" fontId="0" fillId="16" borderId="8" xfId="0" applyFont="1" applyFill="1" applyBorder="1"/>
    <xf numFmtId="0" fontId="0" fillId="16" borderId="7" xfId="0" applyFont="1" applyFill="1" applyBorder="1"/>
    <xf numFmtId="9" fontId="0" fillId="16" borderId="7" xfId="1" applyNumberFormat="1" applyFont="1" applyFill="1" applyBorder="1"/>
    <xf numFmtId="0" fontId="0" fillId="16" borderId="4" xfId="0" applyFont="1" applyFill="1" applyBorder="1"/>
    <xf numFmtId="0" fontId="21" fillId="16" borderId="9" xfId="0" applyFont="1" applyFill="1" applyBorder="1" applyAlignment="1">
      <alignment horizontal="center"/>
    </xf>
    <xf numFmtId="0" fontId="21" fillId="16" borderId="9" xfId="0" applyFont="1" applyFill="1" applyBorder="1" applyAlignment="1">
      <alignment horizontal="left"/>
    </xf>
    <xf numFmtId="0" fontId="21" fillId="16" borderId="8" xfId="0" applyFont="1" applyFill="1" applyBorder="1" applyAlignment="1">
      <alignment horizontal="center"/>
    </xf>
  </cellXfs>
  <cellStyles count="5">
    <cellStyle name="40% - Accent1" xfId="3" builtinId="31"/>
    <cellStyle name="Heading 1" xfId="2" builtinId="16"/>
    <cellStyle name="Normal" xfId="0" builtinId="0"/>
    <cellStyle name="Normal 4" xfId="4" xr:uid="{C214282C-8F11-46F8-B7BC-AD6D1785166B}"/>
    <cellStyle name="Percent" xfId="1" builtinId="5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M-O-M Change in Inflation from May 2022 - May 2023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7614287"/>
        <c:axId val="21276358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'EDA '!$D$27</c15:sqref>
                        </c15:formulaRef>
                      </c:ext>
                    </c:extLst>
                    <c:strCache>
                      <c:ptCount val="1"/>
                      <c:pt idx="0">
                        <c:v>Food and Drink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'EDA '!$B$28:$C$41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April</c:v>
                        </c:pt>
                        <c:pt idx="1">
                          <c:v>May</c:v>
                        </c:pt>
                        <c:pt idx="2">
                          <c:v>June</c:v>
                        </c:pt>
                        <c:pt idx="3">
                          <c:v>July</c:v>
                        </c:pt>
                        <c:pt idx="4">
                          <c:v>August</c:v>
                        </c:pt>
                        <c:pt idx="5">
                          <c:v>September</c:v>
                        </c:pt>
                        <c:pt idx="6">
                          <c:v>October</c:v>
                        </c:pt>
                        <c:pt idx="7">
                          <c:v>November</c:v>
                        </c:pt>
                        <c:pt idx="8">
                          <c:v>December</c:v>
                        </c:pt>
                        <c:pt idx="9">
                          <c:v>January</c:v>
                        </c:pt>
                        <c:pt idx="10">
                          <c:v>February</c:v>
                        </c:pt>
                        <c:pt idx="11">
                          <c:v>March</c:v>
                        </c:pt>
                        <c:pt idx="12">
                          <c:v>April</c:v>
                        </c:pt>
                        <c:pt idx="13">
                          <c:v>May</c:v>
                        </c:pt>
                      </c:lvl>
                      <c:lvl>
                        <c:pt idx="0">
                          <c:v>2022</c:v>
                        </c:pt>
                        <c:pt idx="1">
                          <c:v>2022</c:v>
                        </c:pt>
                        <c:pt idx="2">
                          <c:v>2022</c:v>
                        </c:pt>
                        <c:pt idx="3">
                          <c:v>2022</c:v>
                        </c:pt>
                        <c:pt idx="4">
                          <c:v>2022</c:v>
                        </c:pt>
                        <c:pt idx="5">
                          <c:v>2022</c:v>
                        </c:pt>
                        <c:pt idx="6">
                          <c:v>2022</c:v>
                        </c:pt>
                        <c:pt idx="7">
                          <c:v>2022</c:v>
                        </c:pt>
                        <c:pt idx="8">
                          <c:v>2022</c:v>
                        </c:pt>
                        <c:pt idx="9">
                          <c:v>2023</c:v>
                        </c:pt>
                        <c:pt idx="10">
                          <c:v>2023</c:v>
                        </c:pt>
                        <c:pt idx="11">
                          <c:v>2023</c:v>
                        </c:pt>
                        <c:pt idx="12">
                          <c:v>2023</c:v>
                        </c:pt>
                        <c:pt idx="13">
                          <c:v>2023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'EDA '!$D$28:$D$41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2408.2000000000003</c:v>
                      </c:pt>
                      <c:pt idx="1">
                        <c:v>2433.0000000000005</c:v>
                      </c:pt>
                      <c:pt idx="2">
                        <c:v>2456.2000000000003</c:v>
                      </c:pt>
                      <c:pt idx="3">
                        <c:v>2460.9</c:v>
                      </c:pt>
                      <c:pt idx="4">
                        <c:v>2464.2000000000003</c:v>
                      </c:pt>
                      <c:pt idx="5">
                        <c:v>2476.8000000000002</c:v>
                      </c:pt>
                      <c:pt idx="6">
                        <c:v>2493.6000000000004</c:v>
                      </c:pt>
                      <c:pt idx="7">
                        <c:v>2493.7000000000003</c:v>
                      </c:pt>
                      <c:pt idx="8">
                        <c:v>2480.7000000000003</c:v>
                      </c:pt>
                      <c:pt idx="9">
                        <c:v>2490.8999999999996</c:v>
                      </c:pt>
                      <c:pt idx="10">
                        <c:v>2478.6</c:v>
                      </c:pt>
                      <c:pt idx="11">
                        <c:v>2478.6999999999998</c:v>
                      </c:pt>
                      <c:pt idx="12">
                        <c:v>2490.2000000000003</c:v>
                      </c:pt>
                      <c:pt idx="13">
                        <c:v>2507.9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BA0-456D-A97C-3F99C5DBC60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'EDA '!$E$27</c:f>
              <c:strCache>
                <c:ptCount val="1"/>
                <c:pt idx="0">
                  <c:v>M-O-M Growth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2.3174971031286423E-3"/>
                  <c:y val="-3.45489443378119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A8-47BD-9419-8AC67A964C0E}"/>
                </c:ext>
              </c:extLst>
            </c:dLbl>
            <c:dLbl>
              <c:idx val="3"/>
              <c:layout>
                <c:manualLayout>
                  <c:x val="-4.6349942062572421E-3"/>
                  <c:y val="-3.4548944337811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A8-47BD-9419-8AC67A964C0E}"/>
                </c:ext>
              </c:extLst>
            </c:dLbl>
            <c:dLbl>
              <c:idx val="13"/>
              <c:layout>
                <c:manualLayout>
                  <c:x val="-4.4032444959443799E-2"/>
                  <c:y val="-4.60652591170825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A8-47BD-9419-8AC67A964C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'EDA '!$B$28:$C$41</c:f>
              <c:multiLvlStrCache>
                <c:ptCount val="14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</c:lvl>
                <c:lvl>
                  <c:pt idx="0">
                    <c:v>2022</c:v>
                  </c:pt>
                  <c:pt idx="1">
                    <c:v>2022</c:v>
                  </c:pt>
                  <c:pt idx="2">
                    <c:v>2022</c:v>
                  </c:pt>
                  <c:pt idx="3">
                    <c:v>2022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2022</c:v>
                  </c:pt>
                  <c:pt idx="7">
                    <c:v>2022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</c:lvl>
              </c:multiLvlStrCache>
            </c:multiLvlStrRef>
          </c:cat>
          <c:val>
            <c:numRef>
              <c:f>'EDA '!$E$28:$E$41</c:f>
              <c:numCache>
                <c:formatCode>0.0%</c:formatCode>
                <c:ptCount val="14"/>
                <c:pt idx="1">
                  <c:v>1.0298147994352703E-2</c:v>
                </c:pt>
                <c:pt idx="2">
                  <c:v>9.5355528154540958E-3</c:v>
                </c:pt>
                <c:pt idx="3">
                  <c:v>1.9135249572509638E-3</c:v>
                </c:pt>
                <c:pt idx="4">
                  <c:v>1.3409728148239188E-3</c:v>
                </c:pt>
                <c:pt idx="5">
                  <c:v>5.1132213294375079E-3</c:v>
                </c:pt>
                <c:pt idx="6">
                  <c:v>6.7829457364341813E-3</c:v>
                </c:pt>
                <c:pt idx="7">
                  <c:v>4.010266281677456E-5</c:v>
                </c:pt>
                <c:pt idx="8">
                  <c:v>-5.2131371055058745E-3</c:v>
                </c:pt>
                <c:pt idx="9">
                  <c:v>4.1117426532830906E-3</c:v>
                </c:pt>
                <c:pt idx="10">
                  <c:v>-4.9379742261831984E-3</c:v>
                </c:pt>
                <c:pt idx="11">
                  <c:v>4.034535624945899E-5</c:v>
                </c:pt>
                <c:pt idx="12">
                  <c:v>4.6395287852505169E-3</c:v>
                </c:pt>
                <c:pt idx="13">
                  <c:v>7.107862822263198E-3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0-456D-A97C-3F99C5DBC6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27629167"/>
        <c:axId val="2127633007"/>
      </c:lineChart>
      <c:catAx>
        <c:axId val="212761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35887"/>
        <c:crosses val="autoZero"/>
        <c:auto val="1"/>
        <c:lblAlgn val="ctr"/>
        <c:lblOffset val="100"/>
        <c:noMultiLvlLbl val="0"/>
      </c:catAx>
      <c:valAx>
        <c:axId val="212763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14287"/>
        <c:crosses val="autoZero"/>
        <c:crossBetween val="between"/>
      </c:valAx>
      <c:valAx>
        <c:axId val="212763300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29167"/>
        <c:crosses val="max"/>
        <c:crossBetween val="between"/>
      </c:valAx>
      <c:catAx>
        <c:axId val="21276291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276330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97985564304462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'YOY '!$T$5</c:f>
              <c:strCache>
                <c:ptCount val="1"/>
                <c:pt idx="0">
                  <c:v>YOY Growth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'YOY '!$G$6:$G$11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'YOY '!$T$6:$T$11</c:f>
              <c:numCache>
                <c:formatCode>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98-4467-BB41-5FBA76C9D0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3019391"/>
        <c:axId val="1163013151"/>
      </c:lineChart>
      <c:catAx>
        <c:axId val="116301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013151"/>
        <c:crosses val="autoZero"/>
        <c:auto val="1"/>
        <c:lblAlgn val="ctr"/>
        <c:lblOffset val="100"/>
        <c:noMultiLvlLbl val="0"/>
      </c:catAx>
      <c:valAx>
        <c:axId val="116301315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16301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Contribution of various basket to CPI in May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'Objectives and Comm.'!$N$8:$T$8</c:f>
              <c:strCache>
                <c:ptCount val="7"/>
                <c:pt idx="0">
                  <c:v>Food and Drink</c:v>
                </c:pt>
                <c:pt idx="1">
                  <c:v>Personal care and amusement </c:v>
                </c:pt>
                <c:pt idx="2">
                  <c:v>Transportation and Com.</c:v>
                </c:pt>
                <c:pt idx="3">
                  <c:v>Clothing and Footware</c:v>
                </c:pt>
                <c:pt idx="4">
                  <c:v>Housing </c:v>
                </c:pt>
                <c:pt idx="5">
                  <c:v>Education</c:v>
                </c:pt>
                <c:pt idx="6">
                  <c:v>Health</c:v>
                </c:pt>
              </c:strCache>
            </c:strRef>
          </c:cat>
          <c:val>
            <c:numRef>
              <c:f>'Objectives and Comm.'!$N$10:$T$10</c:f>
              <c:numCache>
                <c:formatCode>0%</c:formatCode>
                <c:ptCount val="7"/>
                <c:pt idx="0">
                  <c:v>0.6102391902085309</c:v>
                </c:pt>
                <c:pt idx="1">
                  <c:v>8.6721658515220068E-2</c:v>
                </c:pt>
                <c:pt idx="2">
                  <c:v>4.0100250626566414E-2</c:v>
                </c:pt>
                <c:pt idx="3">
                  <c:v>8.9300922208433692E-2</c:v>
                </c:pt>
                <c:pt idx="4">
                  <c:v>8.5359028639560033E-2</c:v>
                </c:pt>
                <c:pt idx="5">
                  <c:v>4.3093169817748245E-2</c:v>
                </c:pt>
                <c:pt idx="6">
                  <c:v>4.5185779983940424E-2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8-4D1F-B681-8F2C26FC1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837610783"/>
        <c:axId val="1837611263"/>
      </c:barChart>
      <c:catAx>
        <c:axId val="1837610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611263"/>
        <c:crosses val="autoZero"/>
        <c:auto val="1"/>
        <c:lblAlgn val="ctr"/>
        <c:lblOffset val="100"/>
        <c:noMultiLvlLbl val="0"/>
      </c:catAx>
      <c:valAx>
        <c:axId val="183761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61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97985564304462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'YOY '!$T$5</c:f>
              <c:strCache>
                <c:ptCount val="1"/>
                <c:pt idx="0">
                  <c:v>YOY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'YOY '!$G$6:$G$11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'YOY '!$T$6:$T$11</c:f>
              <c:numCache>
                <c:formatCode>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0-4273-B345-BD1F4B61FAF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63019391"/>
        <c:axId val="1163013151"/>
      </c:lineChart>
      <c:catAx>
        <c:axId val="116301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013151"/>
        <c:crosses val="autoZero"/>
        <c:auto val="1"/>
        <c:lblAlgn val="ctr"/>
        <c:lblOffset val="100"/>
        <c:noMultiLvlLbl val="0"/>
      </c:catAx>
      <c:valAx>
        <c:axId val="116301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01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Y-O-Y Growth for CPI Index</a:t>
            </a:r>
          </a:p>
        </c:rich>
      </c:tx>
      <c:layout>
        <c:manualLayout>
          <c:xMode val="edge"/>
          <c:yMode val="edge"/>
          <c:x val="0.36905311257786655"/>
          <c:y val="2.82796473629414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 '!$M$27</c:f>
              <c:strCache>
                <c:ptCount val="1"/>
                <c:pt idx="0">
                  <c:v>Food and Drink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'EDA '!$L$28:$L$33</c15:sqref>
                  </c15:fullRef>
                </c:ext>
              </c:extLst>
              <c:f>'EDA '!$L$29:$L$33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'EDA '!$M$28:$M$33</c15:sqref>
                  </c15:fullRef>
                </c:ext>
              </c:extLst>
              <c:f>'EDA '!$M$29:$M$33</c:f>
              <c:numCache>
                <c:formatCode>0%</c:formatCode>
                <c:ptCount val="5"/>
                <c:pt idx="0">
                  <c:v>1.3947903870619923E-2</c:v>
                </c:pt>
                <c:pt idx="1">
                  <c:v>-4.8738921990065846E-2</c:v>
                </c:pt>
                <c:pt idx="2">
                  <c:v>6.3061930686696646E-2</c:v>
                </c:pt>
                <c:pt idx="3">
                  <c:v>0.18725114925417838</c:v>
                </c:pt>
                <c:pt idx="4">
                  <c:v>5.4913291329852267E-2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D2-4D93-8FD7-F37B0A907B56}"/>
            </c:ext>
          </c:extLst>
        </c:ser>
        <c:ser>
          <c:idx val="1"/>
          <c:order val="1"/>
          <c:tx>
            <c:strRef>
              <c:f>'EDA '!$N$27</c:f>
              <c:strCache>
                <c:ptCount val="1"/>
                <c:pt idx="0">
                  <c:v>Personal care and amusement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'EDA '!$L$28:$L$33</c15:sqref>
                  </c15:fullRef>
                </c:ext>
              </c:extLst>
              <c:f>'EDA '!$L$29:$L$33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'EDA '!$N$28:$N$33</c15:sqref>
                  </c15:fullRef>
                </c:ext>
              </c:extLst>
              <c:f>'EDA '!$N$29:$N$33</c:f>
              <c:numCache>
                <c:formatCode>0%</c:formatCode>
                <c:ptCount val="5"/>
                <c:pt idx="0">
                  <c:v>4.9196664858101168E-2</c:v>
                </c:pt>
                <c:pt idx="1">
                  <c:v>-3.5491905354918793E-2</c:v>
                </c:pt>
                <c:pt idx="2">
                  <c:v>-2.0012911555842835E-2</c:v>
                </c:pt>
                <c:pt idx="3">
                  <c:v>0.26488912708514817</c:v>
                </c:pt>
                <c:pt idx="4">
                  <c:v>6.5948131278357788E-2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D2-4D93-8FD7-F37B0A907B56}"/>
            </c:ext>
          </c:extLst>
        </c:ser>
        <c:ser>
          <c:idx val="2"/>
          <c:order val="2"/>
          <c:tx>
            <c:strRef>
              <c:f>'EDA '!$O$27</c:f>
              <c:strCache>
                <c:ptCount val="1"/>
                <c:pt idx="0">
                  <c:v>Transportation and Com.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'EDA '!$L$28:$L$33</c15:sqref>
                  </c15:fullRef>
                </c:ext>
              </c:extLst>
              <c:f>'EDA '!$L$29:$L$33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'EDA '!$O$28:$O$33</c15:sqref>
                  </c15:fullRef>
                </c:ext>
              </c:extLst>
              <c:f>'EDA '!$O$29:$O$33</c:f>
              <c:numCache>
                <c:formatCode>0%</c:formatCode>
                <c:ptCount val="5"/>
                <c:pt idx="0">
                  <c:v>5.028976936723862E-2</c:v>
                </c:pt>
                <c:pt idx="1">
                  <c:v>-6.5111146145357554E-2</c:v>
                </c:pt>
                <c:pt idx="2">
                  <c:v>-1.5056612864369597E-2</c:v>
                </c:pt>
                <c:pt idx="3">
                  <c:v>0.32694142105906732</c:v>
                </c:pt>
                <c:pt idx="4">
                  <c:v>6.9951338199513574E-2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D2-4D93-8FD7-F37B0A907B56}"/>
            </c:ext>
          </c:extLst>
        </c:ser>
        <c:ser>
          <c:idx val="3"/>
          <c:order val="3"/>
          <c:tx>
            <c:strRef>
              <c:f>'EDA '!$P$27</c:f>
              <c:strCache>
                <c:ptCount val="1"/>
                <c:pt idx="0">
                  <c:v>Clothing and Footware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'EDA '!$L$28:$L$33</c15:sqref>
                  </c15:fullRef>
                </c:ext>
              </c:extLst>
              <c:f>'EDA '!$L$29:$L$33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'EDA '!$P$28:$P$33</c15:sqref>
                  </c15:fullRef>
                </c:ext>
              </c:extLst>
              <c:f>'EDA '!$P$29:$P$33</c:f>
              <c:numCache>
                <c:formatCode>0%</c:formatCode>
                <c:ptCount val="5"/>
                <c:pt idx="0">
                  <c:v>4.4693254372166639E-2</c:v>
                </c:pt>
                <c:pt idx="1">
                  <c:v>-6.4983761440803506E-2</c:v>
                </c:pt>
                <c:pt idx="2">
                  <c:v>-6.7984464302630304E-2</c:v>
                </c:pt>
                <c:pt idx="3">
                  <c:v>0.27304964539007087</c:v>
                </c:pt>
                <c:pt idx="4">
                  <c:v>0.10287777442648587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D2-4D93-8FD7-F37B0A907B56}"/>
            </c:ext>
          </c:extLst>
        </c:ser>
        <c:ser>
          <c:idx val="4"/>
          <c:order val="4"/>
          <c:tx>
            <c:strRef>
              <c:f>'EDA '!$Q$27</c:f>
              <c:strCache>
                <c:ptCount val="1"/>
                <c:pt idx="0">
                  <c:v>Housing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'EDA '!$L$28:$L$33</c15:sqref>
                  </c15:fullRef>
                </c:ext>
              </c:extLst>
              <c:f>'EDA '!$L$29:$L$33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'EDA '!$Q$28:$Q$33</c15:sqref>
                  </c15:fullRef>
                </c:ext>
              </c:extLst>
              <c:f>'EDA '!$Q$29:$Q$33</c:f>
              <c:numCache>
                <c:formatCode>0%</c:formatCode>
                <c:ptCount val="5"/>
                <c:pt idx="0">
                  <c:v>6.0798570925376404E-2</c:v>
                </c:pt>
                <c:pt idx="1">
                  <c:v>-4.2597094574562469E-2</c:v>
                </c:pt>
                <c:pt idx="2">
                  <c:v>-2.7646687228271051E-2</c:v>
                </c:pt>
                <c:pt idx="3">
                  <c:v>0.20451968764729098</c:v>
                </c:pt>
                <c:pt idx="4">
                  <c:v>6.0704767545158231E-2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D2-4D93-8FD7-F37B0A907B56}"/>
            </c:ext>
          </c:extLst>
        </c:ser>
        <c:ser>
          <c:idx val="5"/>
          <c:order val="5"/>
          <c:tx>
            <c:strRef>
              <c:f>'EDA '!$R$27</c:f>
              <c:strCache>
                <c:ptCount val="1"/>
                <c:pt idx="0">
                  <c:v>Education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'EDA '!$L$28:$L$33</c15:sqref>
                  </c15:fullRef>
                </c:ext>
              </c:extLst>
              <c:f>'EDA '!$L$29:$L$33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'EDA '!$R$28:$R$33</c15:sqref>
                  </c15:fullRef>
                </c:ext>
              </c:extLst>
              <c:f>'EDA '!$R$29:$R$33</c:f>
              <c:numCache>
                <c:formatCode>0%</c:formatCode>
                <c:ptCount val="5"/>
                <c:pt idx="0">
                  <c:v>5.7641707630489571E-2</c:v>
                </c:pt>
                <c:pt idx="1">
                  <c:v>-2.1560951150367939E-2</c:v>
                </c:pt>
                <c:pt idx="2">
                  <c:v>-6.6896619690548692E-2</c:v>
                </c:pt>
                <c:pt idx="3">
                  <c:v>0.23598994529055167</c:v>
                </c:pt>
                <c:pt idx="4">
                  <c:v>4.7134824739800969E-2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D2-4D93-8FD7-F37B0A907B56}"/>
            </c:ext>
          </c:extLst>
        </c:ser>
        <c:ser>
          <c:idx val="6"/>
          <c:order val="6"/>
          <c:tx>
            <c:strRef>
              <c:f>'EDA '!$S$27</c:f>
              <c:strCache>
                <c:ptCount val="1"/>
                <c:pt idx="0">
                  <c:v>Health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'EDA '!$L$28:$L$33</c15:sqref>
                  </c15:fullRef>
                </c:ext>
              </c:extLst>
              <c:f>'EDA '!$L$29:$L$33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'EDA '!$S$28:$S$33</c15:sqref>
                  </c15:fullRef>
                </c:ext>
              </c:extLst>
              <c:f>'EDA '!$S$29:$S$33</c:f>
              <c:numCache>
                <c:formatCode>0%</c:formatCode>
                <c:ptCount val="5"/>
                <c:pt idx="0">
                  <c:v>6.2561937179542337E-2</c:v>
                </c:pt>
                <c:pt idx="1">
                  <c:v>-1.6970114756092579E-2</c:v>
                </c:pt>
                <c:pt idx="2">
                  <c:v>4.4570485717232024E-2</c:v>
                </c:pt>
                <c:pt idx="3">
                  <c:v>0.173794574102595</c:v>
                </c:pt>
                <c:pt idx="4">
                  <c:v>6.1886018032565888E-2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D2-4D93-8FD7-F37B0A907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632047"/>
        <c:axId val="2127618127"/>
      </c:lineChart>
      <c:catAx>
        <c:axId val="212763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18127"/>
        <c:crosses val="autoZero"/>
        <c:auto val="1"/>
        <c:lblAlgn val="ctr"/>
        <c:lblOffset val="100"/>
        <c:noMultiLvlLbl val="0"/>
      </c:catAx>
      <c:valAx>
        <c:axId val="212761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320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7614287"/>
        <c:axId val="21276358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'EDA '!$D$27</c15:sqref>
                        </c15:formulaRef>
                      </c:ext>
                    </c:extLst>
                    <c:strCache>
                      <c:ptCount val="1"/>
                      <c:pt idx="0">
                        <c:v>Food and Drink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'EDA '!$B$28:$C$41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April</c:v>
                        </c:pt>
                        <c:pt idx="1">
                          <c:v>May</c:v>
                        </c:pt>
                        <c:pt idx="2">
                          <c:v>June</c:v>
                        </c:pt>
                        <c:pt idx="3">
                          <c:v>July</c:v>
                        </c:pt>
                        <c:pt idx="4">
                          <c:v>August</c:v>
                        </c:pt>
                        <c:pt idx="5">
                          <c:v>September</c:v>
                        </c:pt>
                        <c:pt idx="6">
                          <c:v>October</c:v>
                        </c:pt>
                        <c:pt idx="7">
                          <c:v>November</c:v>
                        </c:pt>
                        <c:pt idx="8">
                          <c:v>December</c:v>
                        </c:pt>
                        <c:pt idx="9">
                          <c:v>January</c:v>
                        </c:pt>
                        <c:pt idx="10">
                          <c:v>February</c:v>
                        </c:pt>
                        <c:pt idx="11">
                          <c:v>March</c:v>
                        </c:pt>
                        <c:pt idx="12">
                          <c:v>April</c:v>
                        </c:pt>
                        <c:pt idx="13">
                          <c:v>May</c:v>
                        </c:pt>
                      </c:lvl>
                      <c:lvl>
                        <c:pt idx="0">
                          <c:v>2022</c:v>
                        </c:pt>
                        <c:pt idx="1">
                          <c:v>2022</c:v>
                        </c:pt>
                        <c:pt idx="2">
                          <c:v>2022</c:v>
                        </c:pt>
                        <c:pt idx="3">
                          <c:v>2022</c:v>
                        </c:pt>
                        <c:pt idx="4">
                          <c:v>2022</c:v>
                        </c:pt>
                        <c:pt idx="5">
                          <c:v>2022</c:v>
                        </c:pt>
                        <c:pt idx="6">
                          <c:v>2022</c:v>
                        </c:pt>
                        <c:pt idx="7">
                          <c:v>2022</c:v>
                        </c:pt>
                        <c:pt idx="8">
                          <c:v>2022</c:v>
                        </c:pt>
                        <c:pt idx="9">
                          <c:v>2023</c:v>
                        </c:pt>
                        <c:pt idx="10">
                          <c:v>2023</c:v>
                        </c:pt>
                        <c:pt idx="11">
                          <c:v>2023</c:v>
                        </c:pt>
                        <c:pt idx="12">
                          <c:v>2023</c:v>
                        </c:pt>
                        <c:pt idx="13">
                          <c:v>2023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'EDA '!$D$28:$D$41</c15:sqref>
                        </c15:formulaRef>
                      </c:ext>
                    </c:extLst>
                    <c:numCache>
                      <c:formatCode>0.00</c:formatCode>
                      <c:ptCount val="14"/>
                      <c:pt idx="0">
                        <c:v>2408.2000000000003</c:v>
                      </c:pt>
                      <c:pt idx="1">
                        <c:v>2433.0000000000005</c:v>
                      </c:pt>
                      <c:pt idx="2">
                        <c:v>2456.2000000000003</c:v>
                      </c:pt>
                      <c:pt idx="3">
                        <c:v>2460.9</c:v>
                      </c:pt>
                      <c:pt idx="4">
                        <c:v>2464.2000000000003</c:v>
                      </c:pt>
                      <c:pt idx="5">
                        <c:v>2476.8000000000002</c:v>
                      </c:pt>
                      <c:pt idx="6">
                        <c:v>2493.6000000000004</c:v>
                      </c:pt>
                      <c:pt idx="7">
                        <c:v>2493.7000000000003</c:v>
                      </c:pt>
                      <c:pt idx="8">
                        <c:v>2480.7000000000003</c:v>
                      </c:pt>
                      <c:pt idx="9">
                        <c:v>2490.8999999999996</c:v>
                      </c:pt>
                      <c:pt idx="10">
                        <c:v>2478.6</c:v>
                      </c:pt>
                      <c:pt idx="11">
                        <c:v>2478.6999999999998</c:v>
                      </c:pt>
                      <c:pt idx="12">
                        <c:v>2490.2000000000003</c:v>
                      </c:pt>
                      <c:pt idx="13">
                        <c:v>2507.9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779-4AEA-AD5A-5625CC81513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'EDA '!$E$27</c:f>
              <c:strCache>
                <c:ptCount val="1"/>
                <c:pt idx="0">
                  <c:v>M-O-M Growth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'EDA '!$B$28:$C$41</c:f>
              <c:multiLvlStrCache>
                <c:ptCount val="14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</c:lvl>
                <c:lvl>
                  <c:pt idx="0">
                    <c:v>2022</c:v>
                  </c:pt>
                  <c:pt idx="1">
                    <c:v>2022</c:v>
                  </c:pt>
                  <c:pt idx="2">
                    <c:v>2022</c:v>
                  </c:pt>
                  <c:pt idx="3">
                    <c:v>2022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2022</c:v>
                  </c:pt>
                  <c:pt idx="7">
                    <c:v>2022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</c:lvl>
              </c:multiLvlStrCache>
            </c:multiLvlStrRef>
          </c:cat>
          <c:val>
            <c:numRef>
              <c:f>'EDA '!$E$28:$E$41</c:f>
              <c:numCache>
                <c:formatCode>0.0%</c:formatCode>
                <c:ptCount val="14"/>
                <c:pt idx="1">
                  <c:v>1.0298147994352703E-2</c:v>
                </c:pt>
                <c:pt idx="2">
                  <c:v>9.5355528154540958E-3</c:v>
                </c:pt>
                <c:pt idx="3">
                  <c:v>1.9135249572509638E-3</c:v>
                </c:pt>
                <c:pt idx="4">
                  <c:v>1.3409728148239188E-3</c:v>
                </c:pt>
                <c:pt idx="5">
                  <c:v>5.1132213294375079E-3</c:v>
                </c:pt>
                <c:pt idx="6">
                  <c:v>6.7829457364341813E-3</c:v>
                </c:pt>
                <c:pt idx="7">
                  <c:v>4.010266281677456E-5</c:v>
                </c:pt>
                <c:pt idx="8">
                  <c:v>-5.2131371055058745E-3</c:v>
                </c:pt>
                <c:pt idx="9">
                  <c:v>4.1117426532830906E-3</c:v>
                </c:pt>
                <c:pt idx="10">
                  <c:v>-4.9379742261831984E-3</c:v>
                </c:pt>
                <c:pt idx="11">
                  <c:v>4.034535624945899E-5</c:v>
                </c:pt>
                <c:pt idx="12">
                  <c:v>4.6395287852505169E-3</c:v>
                </c:pt>
                <c:pt idx="13">
                  <c:v>7.107862822263198E-3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79-4AEA-AD5A-5625CC8151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27629167"/>
        <c:axId val="2127633007"/>
      </c:lineChart>
      <c:catAx>
        <c:axId val="212761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35887"/>
        <c:crosses val="autoZero"/>
        <c:auto val="1"/>
        <c:lblAlgn val="ctr"/>
        <c:lblOffset val="100"/>
        <c:noMultiLvlLbl val="0"/>
      </c:catAx>
      <c:valAx>
        <c:axId val="212763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14287"/>
        <c:crosses val="autoZero"/>
        <c:crossBetween val="between"/>
      </c:valAx>
      <c:valAx>
        <c:axId val="21276330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29167"/>
        <c:crosses val="max"/>
        <c:crossBetween val="between"/>
      </c:valAx>
      <c:catAx>
        <c:axId val="21276291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76330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39959</xdr:colOff>
      <xdr:row>56</xdr:row>
      <xdr:rowOff>132730</xdr:rowOff>
    </xdr:from>
    <xdr:to>
      <xdr:col>10</xdr:col>
      <xdr:colOff>184150</xdr:colOff>
      <xdr:row>74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C34BDA-480B-403A-AACD-A0607A7AA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276225</xdr:colOff>
      <xdr:row>35</xdr:row>
      <xdr:rowOff>130175</xdr:rowOff>
    </xdr:from>
    <xdr:to>
      <xdr:col>10</xdr:col>
      <xdr:colOff>28575</xdr:colOff>
      <xdr:row>50</xdr:row>
      <xdr:rowOff>111125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88A301-2BE6-4692-84E4-52D2E9E68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341506</xdr:colOff>
      <xdr:row>6</xdr:row>
      <xdr:rowOff>14250</xdr:rowOff>
    </xdr:from>
    <xdr:to>
      <xdr:col>8</xdr:col>
      <xdr:colOff>546100</xdr:colOff>
      <xdr:row>20</xdr:row>
      <xdr:rowOff>57149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3BD4840-0F9B-CAFB-3418-01229376C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361950</xdr:colOff>
      <xdr:row>77</xdr:row>
      <xdr:rowOff>114300</xdr:rowOff>
    </xdr:from>
    <xdr:to>
      <xdr:col>10</xdr:col>
      <xdr:colOff>775086</xdr:colOff>
      <xdr:row>98</xdr:row>
      <xdr:rowOff>63696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2648461-9F18-2C81-5CD4-D9FD064AB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3650" y="14484350"/>
          <a:ext cx="7506086" cy="38165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</xdr:colOff>
      <xdr:row>11</xdr:row>
      <xdr:rowOff>130175</xdr:rowOff>
    </xdr:from>
    <xdr:to>
      <xdr:col>13</xdr:col>
      <xdr:colOff>104775</xdr:colOff>
      <xdr:row>26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88335E-301A-1814-AD45-C52AD4DDF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619124</xdr:colOff>
      <xdr:row>35</xdr:row>
      <xdr:rowOff>47624</xdr:rowOff>
    </xdr:from>
    <xdr:to>
      <xdr:col>17</xdr:col>
      <xdr:colOff>965200</xdr:colOff>
      <xdr:row>57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D05F12-6D2D-AA30-D765-5C81BB2DB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1901825</xdr:colOff>
      <xdr:row>42</xdr:row>
      <xdr:rowOff>3175</xdr:rowOff>
    </xdr:from>
    <xdr:to>
      <xdr:col>5</xdr:col>
      <xdr:colOff>263525</xdr:colOff>
      <xdr:row>56</xdr:row>
      <xdr:rowOff>168275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8C73F43-8257-8801-55BB-0E51D76BB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</xdr:colOff>
      <xdr:row>3</xdr:row>
      <xdr:rowOff>44450</xdr:rowOff>
    </xdr:from>
    <xdr:to>
      <xdr:col>2</xdr:col>
      <xdr:colOff>755650</xdr:colOff>
      <xdr:row>16</xdr:row>
      <xdr:rowOff>139700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EB8D4782-A320-349B-91EB-607D9CD028F2}"/>
            </a:ext>
          </a:extLst>
        </xdr:cNvPr>
        <xdr:cNvSpPr/>
      </xdr:nvSpPr>
      <xdr:spPr>
        <a:xfrm>
          <a:off x="2838450" y="596900"/>
          <a:ext cx="711200" cy="2489200"/>
        </a:xfrm>
        <a:prstGeom prst="rightBrace">
          <a:avLst>
            <a:gd name="adj1" fmla="val 8333"/>
            <a:gd name="adj2" fmla="val 4617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44450</xdr:colOff>
      <xdr:row>18</xdr:row>
      <xdr:rowOff>38100</xdr:rowOff>
    </xdr:from>
    <xdr:to>
      <xdr:col>2</xdr:col>
      <xdr:colOff>762000</xdr:colOff>
      <xdr:row>20</xdr:row>
      <xdr:rowOff>133350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9C01A76A-0798-492B-AB3A-5AF020F3155B}"/>
            </a:ext>
          </a:extLst>
        </xdr:cNvPr>
        <xdr:cNvSpPr/>
      </xdr:nvSpPr>
      <xdr:spPr>
        <a:xfrm>
          <a:off x="2838450" y="3352800"/>
          <a:ext cx="717550" cy="463550"/>
        </a:xfrm>
        <a:prstGeom prst="rightBrace">
          <a:avLst>
            <a:gd name="adj1" fmla="val 8333"/>
            <a:gd name="adj2" fmla="val 5007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44450</xdr:colOff>
      <xdr:row>22</xdr:row>
      <xdr:rowOff>38100</xdr:rowOff>
    </xdr:from>
    <xdr:to>
      <xdr:col>2</xdr:col>
      <xdr:colOff>762000</xdr:colOff>
      <xdr:row>23</xdr:row>
      <xdr:rowOff>171450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87EEBBBA-32A3-4806-B791-3CA6285DC66A}"/>
            </a:ext>
          </a:extLst>
        </xdr:cNvPr>
        <xdr:cNvSpPr/>
      </xdr:nvSpPr>
      <xdr:spPr>
        <a:xfrm>
          <a:off x="2838450" y="4089400"/>
          <a:ext cx="717550" cy="317500"/>
        </a:xfrm>
        <a:prstGeom prst="rightBrace">
          <a:avLst>
            <a:gd name="adj1" fmla="val 8333"/>
            <a:gd name="adj2" fmla="val 4733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63500</xdr:colOff>
      <xdr:row>26</xdr:row>
      <xdr:rowOff>12700</xdr:rowOff>
    </xdr:from>
    <xdr:to>
      <xdr:col>2</xdr:col>
      <xdr:colOff>781050</xdr:colOff>
      <xdr:row>28</xdr:row>
      <xdr:rowOff>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57743A0A-2CDC-49B4-90E3-DE5691C425FB}"/>
            </a:ext>
          </a:extLst>
        </xdr:cNvPr>
        <xdr:cNvSpPr/>
      </xdr:nvSpPr>
      <xdr:spPr>
        <a:xfrm>
          <a:off x="2857500" y="4800600"/>
          <a:ext cx="717550" cy="355600"/>
        </a:xfrm>
        <a:prstGeom prst="rightBrace">
          <a:avLst>
            <a:gd name="adj1" fmla="val 8333"/>
            <a:gd name="adj2" fmla="val 4733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63500</xdr:colOff>
      <xdr:row>33</xdr:row>
      <xdr:rowOff>19050</xdr:rowOff>
    </xdr:from>
    <xdr:to>
      <xdr:col>2</xdr:col>
      <xdr:colOff>647700</xdr:colOff>
      <xdr:row>34</xdr:row>
      <xdr:rowOff>171450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5605144B-7FE7-4630-89CD-E6A70080F01E}"/>
            </a:ext>
          </a:extLst>
        </xdr:cNvPr>
        <xdr:cNvSpPr/>
      </xdr:nvSpPr>
      <xdr:spPr>
        <a:xfrm>
          <a:off x="2857500" y="6096000"/>
          <a:ext cx="584200" cy="336550"/>
        </a:xfrm>
        <a:prstGeom prst="rightBrace">
          <a:avLst>
            <a:gd name="adj1" fmla="val 8333"/>
            <a:gd name="adj2" fmla="val 4929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K RAI" refreshedDate="45543.532526620373" createdVersion="8" refreshedVersion="8" minRefreshableVersion="3" recordCount="372" xr:uid="{38994D2B-A225-49A0-8FB9-3EEDBAAA1B2E}">
  <cacheSource type="worksheet">
    <worksheetSource ref="A1:N373" sheet="Sheet1"/>
  </cacheSource>
  <cacheFields count="11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/>
    </cacheField>
    <cacheField name="Food and Drink" numFmtId="0">
      <sharedItems containsSemiMixedTypes="0" containsString="0" containsNumber="1" minValue="0" maxValue="2539.2999999999997"/>
    </cacheField>
    <cacheField name="Personal care and amusement " numFmtId="0">
      <sharedItems containsSemiMixedTypes="0" containsString="0" containsNumber="1" minValue="0" maxValue="358.70000000000005"/>
    </cacheField>
    <cacheField name="Transportation and Com." numFmtId="0">
      <sharedItems containsSemiMixedTypes="0" containsString="0" containsNumber="1" minValue="0" maxValue="169.7"/>
    </cacheField>
    <cacheField name="Clothing and Footware" numFmtId="0">
      <sharedItems containsSemiMixedTypes="0" containsString="0" containsNumber="1" minValue="0" maxValue="379.1"/>
    </cacheField>
    <cacheField name="Housing " numFmtId="0">
      <sharedItems containsSemiMixedTypes="0" containsString="0" containsNumber="1" minValue="0" maxValue="350.79999999999995"/>
    </cacheField>
    <cacheField name="Education" numFmtId="0">
      <sharedItems containsSemiMixedTypes="0" containsString="0" containsNumber="1" minValue="0" maxValue="180.3"/>
    </cacheField>
    <cacheField name="Health" numFmtId="0">
      <sharedItems containsSemiMixedTypes="0" containsString="0" containsNumber="1" minValue="0" maxValue="187.8"/>
    </cacheField>
    <cacheField name="Entire basket combined" numFmtId="0">
      <sharedItems containsSemiMixedTypes="0" containsString="0" containsNumber="1" minValue="0" maxValue="4109.7000000000007"/>
    </cacheField>
  </cacheFields>
  <extLst>
    <ext xmlns:x14="http://schemas.microsoft.com/office/spreadsheetml/2009/9/main" uri="{725AE2AE-9491-48be-B2B4-4EB974FC3084}">
      <x14:pivotCacheDefinition pivotCacheId="7006004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s v="January"/>
    <n v="1476.7999999999997"/>
    <n v="208.10000000000002"/>
    <n v="103.3"/>
    <n v="212.3"/>
    <n v="104.8"/>
    <n v="103.8"/>
    <n v="104"/>
    <n v="2313.1"/>
  </r>
  <r>
    <x v="1"/>
    <x v="0"/>
    <s v="January"/>
    <n v="1481.6"/>
    <n v="207.2"/>
    <n v="103.2"/>
    <n v="210.9"/>
    <n v="205.1"/>
    <n v="103.5"/>
    <n v="104.1"/>
    <n v="2415.6"/>
  </r>
  <r>
    <x v="2"/>
    <x v="0"/>
    <s v="January"/>
    <n v="1478.4"/>
    <n v="207.6"/>
    <n v="103.2"/>
    <n v="211.8"/>
    <n v="205.1"/>
    <n v="103.6"/>
    <n v="104"/>
    <n v="2413.6999999999998"/>
  </r>
  <r>
    <x v="0"/>
    <x v="0"/>
    <s v="February"/>
    <n v="1485.9999999999998"/>
    <n v="208.6"/>
    <n v="103.9"/>
    <n v="213.39999999999998"/>
    <n v="105.2"/>
    <n v="104.1"/>
    <n v="104.4"/>
    <n v="2325.5999999999995"/>
  </r>
  <r>
    <x v="1"/>
    <x v="0"/>
    <s v="February"/>
    <n v="1496.6000000000001"/>
    <n v="207.6"/>
    <n v="104.4"/>
    <n v="212.1"/>
    <n v="205.60000000000002"/>
    <n v="103.7"/>
    <n v="104.7"/>
    <n v="2434.6999999999998"/>
  </r>
  <r>
    <x v="2"/>
    <x v="0"/>
    <s v="February"/>
    <n v="1489.9"/>
    <n v="208.1"/>
    <n v="104.2"/>
    <n v="212.9"/>
    <n v="205.60000000000002"/>
    <n v="103.9"/>
    <n v="104.5"/>
    <n v="2429.1000000000004"/>
  </r>
  <r>
    <x v="0"/>
    <x v="0"/>
    <s v="March"/>
    <n v="1488.7"/>
    <n v="208.3"/>
    <n v="104.6"/>
    <n v="214.39999999999998"/>
    <n v="105.6"/>
    <n v="104.3"/>
    <n v="104.7"/>
    <n v="2330.6"/>
  </r>
  <r>
    <x v="1"/>
    <x v="0"/>
    <s v="March"/>
    <n v="1493.6"/>
    <n v="207.7"/>
    <n v="105.5"/>
    <n v="213.2"/>
    <n v="206.10000000000002"/>
    <n v="103.8"/>
    <n v="105.2"/>
    <n v="2435.1"/>
  </r>
  <r>
    <x v="2"/>
    <x v="0"/>
    <s v="March"/>
    <n v="1490.6000000000001"/>
    <n v="208"/>
    <n v="105.1"/>
    <n v="213.9"/>
    <n v="206"/>
    <n v="104"/>
    <n v="104.9"/>
    <n v="2432.5000000000005"/>
  </r>
  <r>
    <x v="0"/>
    <x v="0"/>
    <s v="April"/>
    <n v="1492.8999999999999"/>
    <n v="207.2"/>
    <n v="104.4"/>
    <n v="215.5"/>
    <n v="106.1"/>
    <n v="104.8"/>
    <n v="105.1"/>
    <n v="2336"/>
  </r>
  <r>
    <x v="1"/>
    <x v="0"/>
    <s v="April"/>
    <n v="1506.1999999999998"/>
    <n v="207.2"/>
    <n v="105"/>
    <n v="214.3"/>
    <n v="207"/>
    <n v="105.2"/>
    <n v="105.7"/>
    <n v="2450.5999999999995"/>
  </r>
  <r>
    <x v="2"/>
    <x v="0"/>
    <s v="April"/>
    <n v="1497.7"/>
    <n v="207.10000000000002"/>
    <n v="104.7"/>
    <n v="215"/>
    <n v="206.8"/>
    <n v="105"/>
    <n v="105.3"/>
    <n v="2441.6000000000004"/>
  </r>
  <r>
    <x v="0"/>
    <x v="0"/>
    <s v="May"/>
    <n v="1502.1"/>
    <n v="207.1"/>
    <n v="104.1"/>
    <n v="216.7"/>
    <n v="106.8"/>
    <n v="105.5"/>
    <n v="105.7"/>
    <n v="2347.9999999999995"/>
  </r>
  <r>
    <x v="1"/>
    <x v="0"/>
    <s v="May"/>
    <n v="1526.9999999999998"/>
    <n v="207.2"/>
    <n v="103.9"/>
    <n v="215.2"/>
    <n v="207.6"/>
    <n v="105.7"/>
    <n v="106.2"/>
    <n v="2472.7999999999993"/>
  </r>
  <r>
    <x v="2"/>
    <x v="0"/>
    <s v="May"/>
    <n v="1510.7999999999997"/>
    <n v="207.1"/>
    <n v="104"/>
    <n v="216.10000000000002"/>
    <n v="207.4"/>
    <n v="105.6"/>
    <n v="105.9"/>
    <n v="2456.8999999999996"/>
  </r>
  <r>
    <x v="0"/>
    <x v="0"/>
    <s v="June"/>
    <n v="1529"/>
    <n v="208.1"/>
    <n v="105"/>
    <n v="218.5"/>
    <n v="107.5"/>
    <n v="106.5"/>
    <n v="106.3"/>
    <n v="2380.9"/>
  </r>
  <r>
    <x v="1"/>
    <x v="0"/>
    <s v="June"/>
    <n v="1575.5000000000002"/>
    <n v="208.5"/>
    <n v="105.2"/>
    <n v="216.4"/>
    <n v="214.3"/>
    <n v="108.1"/>
    <n v="106.5"/>
    <n v="2534.5000000000005"/>
  </r>
  <r>
    <x v="2"/>
    <x v="0"/>
    <s v="June"/>
    <n v="1545.5"/>
    <n v="208.2"/>
    <n v="105.1"/>
    <n v="217.6"/>
    <n v="214.2"/>
    <n v="107.4"/>
    <n v="106.4"/>
    <n v="2504.4"/>
  </r>
  <r>
    <x v="0"/>
    <x v="0"/>
    <s v="July"/>
    <n v="1555.6999999999996"/>
    <n v="208.9"/>
    <n v="106.8"/>
    <n v="220"/>
    <n v="108.3"/>
    <n v="107.8"/>
    <n v="106.9"/>
    <n v="2414.4"/>
  </r>
  <r>
    <x v="1"/>
    <x v="0"/>
    <s v="July"/>
    <n v="1601.1000000000001"/>
    <n v="209.10000000000002"/>
    <n v="107.3"/>
    <n v="217.6"/>
    <n v="215.8"/>
    <n v="110.1"/>
    <n v="107.1"/>
    <n v="2568.1000000000004"/>
  </r>
  <r>
    <x v="2"/>
    <x v="0"/>
    <s v="July"/>
    <n v="1571.6999999999998"/>
    <n v="208.89999999999998"/>
    <n v="107.1"/>
    <n v="219"/>
    <n v="215.9"/>
    <n v="109.1"/>
    <n v="107"/>
    <n v="2538.6999999999998"/>
  </r>
  <r>
    <x v="0"/>
    <x v="0"/>
    <s v="August"/>
    <n v="1573.2"/>
    <n v="211.8"/>
    <n v="107.8"/>
    <n v="221.5"/>
    <n v="108.7"/>
    <n v="108.7"/>
    <n v="107.5"/>
    <n v="2439.1999999999998"/>
  </r>
  <r>
    <x v="1"/>
    <x v="0"/>
    <s v="August"/>
    <n v="1618.5000000000002"/>
    <n v="212.5"/>
    <n v="108.1"/>
    <n v="218.89999999999998"/>
    <n v="217.60000000000002"/>
    <n v="110.8"/>
    <n v="107.6"/>
    <n v="2594"/>
  </r>
  <r>
    <x v="2"/>
    <x v="0"/>
    <s v="August"/>
    <n v="1588.6000000000001"/>
    <n v="212"/>
    <n v="108"/>
    <n v="220.4"/>
    <n v="217.60000000000002"/>
    <n v="109.9"/>
    <n v="107.5"/>
    <n v="2564"/>
  </r>
  <r>
    <x v="0"/>
    <x v="0"/>
    <s v="September"/>
    <n v="1600.2000000000003"/>
    <n v="214.4"/>
    <n v="109.3"/>
    <n v="224.10000000000002"/>
    <n v="109.6"/>
    <n v="109.8"/>
    <n v="108.3"/>
    <n v="2475.7000000000007"/>
  </r>
  <r>
    <x v="1"/>
    <x v="0"/>
    <s v="September"/>
    <n v="1613.3000000000002"/>
    <n v="214.3"/>
    <n v="110.4"/>
    <n v="220.4"/>
    <n v="219.3"/>
    <n v="111.2"/>
    <n v="107.9"/>
    <n v="2596.8000000000002"/>
  </r>
  <r>
    <x v="2"/>
    <x v="0"/>
    <s v="September"/>
    <n v="1603.6999999999998"/>
    <n v="214.3"/>
    <n v="109.9"/>
    <n v="222.60000000000002"/>
    <n v="219.3"/>
    <n v="110.6"/>
    <n v="108.1"/>
    <n v="2588.5"/>
  </r>
  <r>
    <x v="0"/>
    <x v="0"/>
    <s v="October"/>
    <n v="1620.2"/>
    <n v="215.8"/>
    <n v="109.3"/>
    <n v="225.89999999999998"/>
    <n v="110.4"/>
    <n v="110.2"/>
    <n v="108.9"/>
    <n v="2500.6999999999998"/>
  </r>
  <r>
    <x v="1"/>
    <x v="0"/>
    <s v="October"/>
    <n v="1630.6999999999998"/>
    <n v="215.3"/>
    <n v="109.7"/>
    <n v="222.2"/>
    <n v="220.7"/>
    <n v="111.3"/>
    <n v="108.2"/>
    <n v="2618.0999999999995"/>
  </r>
  <r>
    <x v="2"/>
    <x v="0"/>
    <s v="October"/>
    <n v="1622.7000000000003"/>
    <n v="215.5"/>
    <n v="109.5"/>
    <n v="224.4"/>
    <n v="220.8"/>
    <n v="110.8"/>
    <n v="108.6"/>
    <n v="2612.3000000000006"/>
  </r>
  <r>
    <x v="0"/>
    <x v="0"/>
    <s v="November "/>
    <n v="1649.6"/>
    <n v="216.9"/>
    <n v="109.6"/>
    <n v="227.7"/>
    <n v="111.3"/>
    <n v="111"/>
    <n v="109.7"/>
    <n v="2535.7999999999997"/>
  </r>
  <r>
    <x v="1"/>
    <x v="0"/>
    <s v="November"/>
    <n v="1658.6999999999998"/>
    <n v="216.4"/>
    <n v="109.5"/>
    <n v="223.8"/>
    <n v="222"/>
    <n v="111.3"/>
    <n v="108.6"/>
    <n v="2650.3"/>
  </r>
  <r>
    <x v="2"/>
    <x v="0"/>
    <s v="November"/>
    <n v="1651.8999999999999"/>
    <n v="216.7"/>
    <n v="109.5"/>
    <n v="226.10000000000002"/>
    <n v="222.2"/>
    <n v="111.2"/>
    <n v="109.3"/>
    <n v="2646.8999999999996"/>
  </r>
  <r>
    <x v="0"/>
    <x v="0"/>
    <s v="December"/>
    <n v="1622.6"/>
    <n v="217.3"/>
    <n v="109.9"/>
    <n v="229.8"/>
    <n v="112.1"/>
    <n v="111.6"/>
    <n v="110.1"/>
    <n v="2513.3999999999996"/>
  </r>
  <r>
    <x v="1"/>
    <x v="0"/>
    <s v="December"/>
    <n v="1619.4"/>
    <n v="216.60000000000002"/>
    <n v="109.7"/>
    <n v="225.10000000000002"/>
    <n v="222"/>
    <n v="111.4"/>
    <n v="109"/>
    <n v="2613.2000000000003"/>
  </r>
  <r>
    <x v="2"/>
    <x v="0"/>
    <s v="December"/>
    <n v="1621.3000000000002"/>
    <n v="216.9"/>
    <n v="109.8"/>
    <n v="227.9"/>
    <n v="222.4"/>
    <n v="111.5"/>
    <n v="109.7"/>
    <n v="2619.5"/>
  </r>
  <r>
    <x v="0"/>
    <x v="1"/>
    <s v="January"/>
    <n v="1600.6000000000001"/>
    <n v="217.89999999999998"/>
    <n v="110.5"/>
    <n v="231"/>
    <n v="112.6"/>
    <n v="111.8"/>
    <n v="110.6"/>
    <n v="2495"/>
  </r>
  <r>
    <x v="1"/>
    <x v="1"/>
    <s v="January"/>
    <n v="1600"/>
    <n v="217.8"/>
    <n v="110.8"/>
    <n v="226.1"/>
    <n v="223.5"/>
    <n v="111.5"/>
    <n v="109.7"/>
    <n v="2599.3999999999996"/>
  </r>
  <r>
    <x v="2"/>
    <x v="1"/>
    <s v="January"/>
    <n v="1600.2999999999997"/>
    <n v="217.9"/>
    <n v="110.7"/>
    <n v="229"/>
    <n v="223.89999999999998"/>
    <n v="111.6"/>
    <n v="110.3"/>
    <n v="2603.6999999999998"/>
  </r>
  <r>
    <x v="0"/>
    <x v="1"/>
    <s v="February"/>
    <n v="1596.4"/>
    <n v="218.60000000000002"/>
    <n v="110.8"/>
    <n v="231.6"/>
    <n v="112.9"/>
    <n v="112"/>
    <n v="110.9"/>
    <n v="2493.2000000000003"/>
  </r>
  <r>
    <x v="1"/>
    <x v="1"/>
    <s v="February"/>
    <n v="1592.2"/>
    <n v="219"/>
    <n v="111.3"/>
    <n v="227"/>
    <n v="225.1"/>
    <n v="111.6"/>
    <n v="110.4"/>
    <n v="2596.6"/>
  </r>
  <r>
    <x v="2"/>
    <x v="1"/>
    <s v="February"/>
    <n v="1594.8"/>
    <n v="218.8"/>
    <n v="111.1"/>
    <n v="229.7"/>
    <n v="225.3"/>
    <n v="111.8"/>
    <n v="110.7"/>
    <n v="2602.1999999999998"/>
  </r>
  <r>
    <x v="0"/>
    <x v="1"/>
    <s v="March"/>
    <n v="1606"/>
    <n v="219.10000000000002"/>
    <n v="111.2"/>
    <n v="232.4"/>
    <n v="113.4"/>
    <n v="112.4"/>
    <n v="111.4"/>
    <n v="2505.9"/>
  </r>
  <r>
    <x v="1"/>
    <x v="1"/>
    <s v="March"/>
    <n v="1599.7"/>
    <n v="220.10000000000002"/>
    <n v="111.6"/>
    <n v="227.89999999999998"/>
    <n v="226.2"/>
    <n v="111.8"/>
    <n v="110.8"/>
    <n v="2608.1000000000004"/>
  </r>
  <r>
    <x v="2"/>
    <x v="1"/>
    <s v="March"/>
    <n v="1603.4999999999998"/>
    <n v="219.6"/>
    <n v="111.4"/>
    <n v="230.5"/>
    <n v="226.4"/>
    <n v="112"/>
    <n v="111.2"/>
    <n v="2614.6"/>
  </r>
  <r>
    <x v="0"/>
    <x v="1"/>
    <s v="April"/>
    <n v="1619.5000000000002"/>
    <n v="219.4"/>
    <n v="111.2"/>
    <n v="234.2"/>
    <n v="113.7"/>
    <n v="113"/>
    <n v="111.8"/>
    <n v="2522.8000000000002"/>
  </r>
  <r>
    <x v="1"/>
    <x v="1"/>
    <s v="April"/>
    <n v="1621.6000000000001"/>
    <n v="220.3"/>
    <n v="111.2"/>
    <n v="228.8"/>
    <n v="227.3"/>
    <n v="112.5"/>
    <n v="111"/>
    <n v="2632.7000000000003"/>
  </r>
  <r>
    <x v="2"/>
    <x v="1"/>
    <s v="April"/>
    <n v="1620.1"/>
    <n v="219.9"/>
    <n v="111.2"/>
    <n v="232"/>
    <n v="227.5"/>
    <n v="112.7"/>
    <n v="111.5"/>
    <n v="2634.8999999999996"/>
  </r>
  <r>
    <x v="0"/>
    <x v="1"/>
    <s v="May"/>
    <n v="1630.1999999999998"/>
    <n v="219.8"/>
    <n v="111.4"/>
    <n v="235.5"/>
    <n v="114.1"/>
    <n v="113.1"/>
    <n v="112.1"/>
    <n v="2536.1999999999994"/>
  </r>
  <r>
    <x v="1"/>
    <x v="1"/>
    <s v="May"/>
    <n v="1643.6000000000001"/>
    <n v="220.8"/>
    <n v="111.3"/>
    <n v="229.7"/>
    <n v="228.39999999999998"/>
    <n v="112.9"/>
    <n v="111.2"/>
    <n v="2657.9"/>
  </r>
  <r>
    <x v="2"/>
    <x v="1"/>
    <s v="May"/>
    <n v="1635.3000000000004"/>
    <n v="220.3"/>
    <n v="111.3"/>
    <n v="233.2"/>
    <n v="228.39999999999998"/>
    <n v="113"/>
    <n v="111.8"/>
    <n v="2653.3000000000006"/>
  </r>
  <r>
    <x v="0"/>
    <x v="1"/>
    <s v="June"/>
    <n v="1642.9999999999998"/>
    <n v="219.4"/>
    <n v="112.2"/>
    <n v="237"/>
    <n v="114.9"/>
    <n v="114.3"/>
    <n v="112.8"/>
    <n v="2553.6000000000004"/>
  </r>
  <r>
    <x v="1"/>
    <x v="1"/>
    <s v="June"/>
    <n v="1666"/>
    <n v="220.5"/>
    <n v="111.5"/>
    <n v="230.60000000000002"/>
    <n v="228.2"/>
    <n v="115.1"/>
    <n v="111.4"/>
    <n v="2683.2999999999997"/>
  </r>
  <r>
    <x v="2"/>
    <x v="1"/>
    <s v="June"/>
    <n v="1651.5000000000002"/>
    <n v="219.89999999999998"/>
    <n v="111.8"/>
    <n v="234.39999999999998"/>
    <n v="228.5"/>
    <n v="114.8"/>
    <n v="112.3"/>
    <n v="2673.2000000000003"/>
  </r>
  <r>
    <x v="0"/>
    <x v="1"/>
    <s v="July"/>
    <n v="1681.2"/>
    <n v="220.6"/>
    <n v="113.2"/>
    <n v="239"/>
    <n v="115.4"/>
    <n v="115.5"/>
    <n v="113.4"/>
    <n v="2598.3000000000002"/>
  </r>
  <r>
    <x v="1"/>
    <x v="1"/>
    <s v="July"/>
    <n v="1720.5"/>
    <n v="222.10000000000002"/>
    <n v="113"/>
    <n v="231.6"/>
    <n v="229.7"/>
    <n v="117.8"/>
    <n v="111.5"/>
    <n v="2746.2"/>
  </r>
  <r>
    <x v="2"/>
    <x v="1"/>
    <s v="July"/>
    <n v="1695.1"/>
    <n v="221.3"/>
    <n v="113.1"/>
    <n v="235.89999999999998"/>
    <n v="230"/>
    <n v="116.8"/>
    <n v="112.7"/>
    <n v="2724.8999999999996"/>
  </r>
  <r>
    <x v="0"/>
    <x v="1"/>
    <s v="August"/>
    <n v="1701.0999999999997"/>
    <n v="221.60000000000002"/>
    <n v="113.2"/>
    <n v="239.7"/>
    <n v="115.9"/>
    <n v="116.2"/>
    <n v="114"/>
    <n v="2621.7"/>
  </r>
  <r>
    <x v="1"/>
    <x v="1"/>
    <s v="August"/>
    <n v="1740"/>
    <n v="223.4"/>
    <n v="112.5"/>
    <n v="232.7"/>
    <n v="230.8"/>
    <n v="119.2"/>
    <n v="112.2"/>
    <n v="2770.7999999999997"/>
  </r>
  <r>
    <x v="2"/>
    <x v="1"/>
    <s v="August"/>
    <n v="1714.3999999999999"/>
    <n v="222.5"/>
    <n v="112.8"/>
    <n v="236.8"/>
    <n v="231.1"/>
    <n v="118"/>
    <n v="113.3"/>
    <n v="2748.9"/>
  </r>
  <r>
    <x v="0"/>
    <x v="1"/>
    <s v="September"/>
    <n v="1702.7"/>
    <n v="221.7"/>
    <n v="112.8"/>
    <n v="240.9"/>
    <n v="116.7"/>
    <n v="116.6"/>
    <n v="114.5"/>
    <n v="2625.8999999999996"/>
  </r>
  <r>
    <x v="1"/>
    <x v="1"/>
    <s v="September"/>
    <n v="1718.0000000000002"/>
    <n v="223.4"/>
    <n v="111.2"/>
    <n v="233.7"/>
    <n v="231.6"/>
    <n v="120"/>
    <n v="112.3"/>
    <n v="2750.2000000000003"/>
  </r>
  <r>
    <x v="2"/>
    <x v="1"/>
    <s v="September"/>
    <n v="1706.8999999999996"/>
    <n v="222.6"/>
    <n v="112"/>
    <n v="237.9"/>
    <n v="232.2"/>
    <n v="118.6"/>
    <n v="113.7"/>
    <n v="2743.8999999999992"/>
  </r>
  <r>
    <x v="0"/>
    <x v="1"/>
    <s v="October"/>
    <n v="1701.1999999999998"/>
    <n v="222.3"/>
    <n v="112.6"/>
    <n v="243"/>
    <n v="117.5"/>
    <n v="116.9"/>
    <n v="115.3"/>
    <n v="2628.7999999999997"/>
  </r>
  <r>
    <x v="1"/>
    <x v="1"/>
    <s v="October"/>
    <n v="1711.8"/>
    <n v="223.7"/>
    <n v="111"/>
    <n v="234.5"/>
    <n v="232.5"/>
    <n v="120.2"/>
    <n v="112.6"/>
    <n v="2746.2999999999997"/>
  </r>
  <r>
    <x v="2"/>
    <x v="1"/>
    <s v="October"/>
    <n v="1703.8"/>
    <n v="222.89999999999998"/>
    <n v="111.8"/>
    <n v="239.6"/>
    <n v="233.4"/>
    <n v="118.8"/>
    <n v="114.3"/>
    <n v="2744.6000000000004"/>
  </r>
  <r>
    <x v="0"/>
    <x v="1"/>
    <s v="November"/>
    <n v="1702.8"/>
    <n v="222.1"/>
    <n v="112"/>
    <n v="243.8"/>
    <n v="118.1"/>
    <n v="117.2"/>
    <n v="115.9"/>
    <n v="2631.8999999999996"/>
  </r>
  <r>
    <x v="1"/>
    <x v="1"/>
    <s v="November"/>
    <n v="1713.6"/>
    <n v="223.6"/>
    <n v="109.7"/>
    <n v="235.7"/>
    <n v="233.5"/>
    <n v="120.3"/>
    <n v="113"/>
    <n v="2749.4"/>
  </r>
  <r>
    <x v="2"/>
    <x v="1"/>
    <s v="November"/>
    <n v="1705.3"/>
    <n v="222.8"/>
    <n v="110.8"/>
    <n v="240.5"/>
    <n v="234.39999999999998"/>
    <n v="119"/>
    <n v="114.8"/>
    <n v="2747.6"/>
  </r>
  <r>
    <x v="0"/>
    <x v="1"/>
    <s v="December"/>
    <n v="1691.3"/>
    <n v="222.7"/>
    <n v="111.5"/>
    <n v="244.39999999999998"/>
    <n v="118.2"/>
    <n v="117.7"/>
    <n v="116.2"/>
    <n v="2621.9999999999995"/>
  </r>
  <r>
    <x v="1"/>
    <x v="1"/>
    <s v="December"/>
    <n v="1703.6"/>
    <n v="224.7"/>
    <n v="108.8"/>
    <n v="236.5"/>
    <n v="233.3"/>
    <n v="120.7"/>
    <n v="113.2"/>
    <n v="2740.7999999999997"/>
  </r>
  <r>
    <x v="2"/>
    <x v="1"/>
    <s v="December"/>
    <n v="1694.6999999999998"/>
    <n v="223.7"/>
    <n v="110.1"/>
    <n v="241.2"/>
    <n v="234"/>
    <n v="119.5"/>
    <n v="115.1"/>
    <n v="2738.2999999999997"/>
  </r>
  <r>
    <x v="0"/>
    <x v="2"/>
    <s v="January"/>
    <n v="1690.8"/>
    <n v="224.2"/>
    <n v="111"/>
    <n v="246"/>
    <n v="118.9"/>
    <n v="118.2"/>
    <n v="116.6"/>
    <n v="2625.7"/>
  </r>
  <r>
    <x v="1"/>
    <x v="2"/>
    <s v="January"/>
    <n v="1702.3"/>
    <n v="226"/>
    <n v="107.9"/>
    <n v="237.1"/>
    <n v="234.5"/>
    <n v="120.8"/>
    <n v="113.7"/>
    <n v="2742.3"/>
  </r>
  <r>
    <x v="2"/>
    <x v="2"/>
    <s v="January"/>
    <n v="1693.3"/>
    <n v="225"/>
    <n v="109.4"/>
    <n v="242.39999999999998"/>
    <n v="235.39999999999998"/>
    <n v="119.7"/>
    <n v="115.5"/>
    <n v="2740.7"/>
  </r>
  <r>
    <x v="0"/>
    <x v="2"/>
    <s v="February"/>
    <n v="1694.7999999999997"/>
    <n v="225.6"/>
    <n v="110.9"/>
    <n v="248.10000000000002"/>
    <n v="119.6"/>
    <n v="118.7"/>
    <n v="117.7"/>
    <n v="2635.3999999999992"/>
  </r>
  <r>
    <x v="1"/>
    <x v="2"/>
    <s v="February"/>
    <n v="1699.2"/>
    <n v="226.60000000000002"/>
    <n v="106.8"/>
    <n v="237.8"/>
    <n v="235.8"/>
    <n v="120.4"/>
    <n v="114.1"/>
    <n v="2740.7000000000003"/>
  </r>
  <r>
    <x v="2"/>
    <x v="2"/>
    <s v="February"/>
    <n v="1694.5999999999997"/>
    <n v="226.10000000000002"/>
    <n v="108.7"/>
    <n v="243.89999999999998"/>
    <n v="236.8"/>
    <n v="119.7"/>
    <n v="116.3"/>
    <n v="2746.1"/>
  </r>
  <r>
    <x v="0"/>
    <x v="2"/>
    <s v="March"/>
    <n v="1696.2"/>
    <n v="226.3"/>
    <n v="111.6"/>
    <n v="248.9"/>
    <n v="120.2"/>
    <n v="119.4"/>
    <n v="118.2"/>
    <n v="2640.7999999999997"/>
  </r>
  <r>
    <x v="1"/>
    <x v="2"/>
    <s v="March"/>
    <n v="1696.8000000000002"/>
    <n v="226.7"/>
    <n v="108.4"/>
    <n v="238.60000000000002"/>
    <n v="236.6"/>
    <n v="120.6"/>
    <n v="114.3"/>
    <n v="2742.0000000000005"/>
  </r>
  <r>
    <x v="2"/>
    <x v="2"/>
    <s v="March"/>
    <n v="1694.8999999999999"/>
    <n v="226.4"/>
    <n v="109.9"/>
    <n v="244.7"/>
    <n v="237.8"/>
    <n v="120.1"/>
    <n v="116.7"/>
    <n v="2750.5"/>
  </r>
  <r>
    <x v="0"/>
    <x v="2"/>
    <s v="April"/>
    <n v="1702.9"/>
    <n v="227.8"/>
    <n v="111.9"/>
    <n v="249.7"/>
    <n v="120.9"/>
    <n v="119.9"/>
    <n v="118.6"/>
    <n v="2651.7000000000003"/>
  </r>
  <r>
    <x v="1"/>
    <x v="2"/>
    <s v="April"/>
    <n v="1706.1999999999998"/>
    <n v="227.39999999999998"/>
    <n v="108.4"/>
    <n v="239.3"/>
    <n v="237.60000000000002"/>
    <n v="121.7"/>
    <n v="114.6"/>
    <n v="2755.2"/>
  </r>
  <r>
    <x v="2"/>
    <x v="2"/>
    <s v="April"/>
    <n v="1702.6000000000001"/>
    <n v="227.60000000000002"/>
    <n v="110.1"/>
    <n v="245.5"/>
    <n v="238.9"/>
    <n v="121"/>
    <n v="117.1"/>
    <n v="2762.8"/>
  </r>
  <r>
    <x v="0"/>
    <x v="2"/>
    <s v="May"/>
    <n v="1714.4"/>
    <n v="229"/>
    <n v="113.3"/>
    <n v="251.39999999999998"/>
    <n v="121.5"/>
    <n v="120.5"/>
    <n v="119.4"/>
    <n v="2669.5000000000005"/>
  </r>
  <r>
    <x v="1"/>
    <x v="2"/>
    <s v="May"/>
    <n v="1730.2"/>
    <n v="228.4"/>
    <n v="110.8"/>
    <n v="239.8"/>
    <n v="238.3"/>
    <n v="122"/>
    <n v="114.9"/>
    <n v="2784.4000000000005"/>
  </r>
  <r>
    <x v="2"/>
    <x v="2"/>
    <s v="May"/>
    <n v="1718.3000000000002"/>
    <n v="228.6"/>
    <n v="112"/>
    <n v="246.7"/>
    <n v="239.8"/>
    <n v="121.4"/>
    <n v="117.7"/>
    <n v="2784.5"/>
  </r>
  <r>
    <x v="0"/>
    <x v="2"/>
    <s v="June"/>
    <n v="1746.1"/>
    <n v="230.9"/>
    <n v="114.2"/>
    <n v="253.5"/>
    <n v="122.8"/>
    <n v="122"/>
    <n v="120.4"/>
    <n v="2709.9"/>
  </r>
  <r>
    <x v="1"/>
    <x v="2"/>
    <s v="June"/>
    <n v="1768.6999999999998"/>
    <n v="228.7"/>
    <n v="111.7"/>
    <n v="240.8"/>
    <n v="238.2"/>
    <n v="123.8"/>
    <n v="115.4"/>
    <n v="2827.3"/>
  </r>
  <r>
    <x v="2"/>
    <x v="2"/>
    <s v="June"/>
    <n v="1752.7"/>
    <n v="229.7"/>
    <n v="112.9"/>
    <n v="248.4"/>
    <n v="240.1"/>
    <n v="123.1"/>
    <n v="118.5"/>
    <n v="2825.4"/>
  </r>
  <r>
    <x v="0"/>
    <x v="2"/>
    <s v="July"/>
    <n v="1754.7"/>
    <n v="230.7"/>
    <n v="114.1"/>
    <n v="254.3"/>
    <n v="123"/>
    <n v="122.9"/>
    <n v="120.8"/>
    <n v="2720.5000000000005"/>
  </r>
  <r>
    <x v="1"/>
    <x v="2"/>
    <s v="July"/>
    <n v="1775.9999999999998"/>
    <n v="228.3"/>
    <n v="111.5"/>
    <n v="241.4"/>
    <n v="239.4"/>
    <n v="125.4"/>
    <n v="116"/>
    <n v="2838"/>
  </r>
  <r>
    <x v="2"/>
    <x v="2"/>
    <s v="July"/>
    <n v="1761.0000000000002"/>
    <n v="229.5"/>
    <n v="112.7"/>
    <n v="249"/>
    <n v="241.2"/>
    <n v="124.4"/>
    <n v="119"/>
    <n v="2836.8"/>
  </r>
  <r>
    <x v="0"/>
    <x v="2"/>
    <s v="August"/>
    <n v="1776.6999999999998"/>
    <n v="231"/>
    <n v="113.6"/>
    <n v="255.8"/>
    <n v="123.7"/>
    <n v="123.6"/>
    <n v="121.1"/>
    <n v="2745.4999999999995"/>
  </r>
  <r>
    <x v="1"/>
    <x v="2"/>
    <s v="August"/>
    <n v="1793.1"/>
    <n v="229.2"/>
    <n v="109.9"/>
    <n v="241.9"/>
    <n v="240.9"/>
    <n v="126.2"/>
    <n v="116.6"/>
    <n v="2857.7999999999997"/>
  </r>
  <r>
    <x v="2"/>
    <x v="2"/>
    <s v="August"/>
    <n v="1780.8"/>
    <n v="230.1"/>
    <n v="111.7"/>
    <n v="250.10000000000002"/>
    <n v="242.9"/>
    <n v="125.1"/>
    <n v="119.4"/>
    <n v="2860.1"/>
  </r>
  <r>
    <x v="0"/>
    <x v="2"/>
    <s v="September"/>
    <n v="1788.6000000000001"/>
    <n v="233.3"/>
    <n v="113.8"/>
    <n v="257.2"/>
    <n v="124.5"/>
    <n v="124.5"/>
    <n v="121.4"/>
    <n v="2763.3"/>
  </r>
  <r>
    <x v="1"/>
    <x v="2"/>
    <s v="September"/>
    <n v="1799.5"/>
    <n v="230.2"/>
    <n v="109.1"/>
    <n v="242.6"/>
    <n v="242"/>
    <n v="126.5"/>
    <n v="117.1"/>
    <n v="2867"/>
  </r>
  <r>
    <x v="2"/>
    <x v="2"/>
    <s v="September"/>
    <n v="1790.3000000000002"/>
    <n v="231.7"/>
    <n v="111.3"/>
    <n v="251.3"/>
    <n v="244.2"/>
    <n v="125.7"/>
    <n v="119.8"/>
    <n v="2874.3"/>
  </r>
  <r>
    <x v="0"/>
    <x v="2"/>
    <s v="October"/>
    <n v="1806.1"/>
    <n v="234.3"/>
    <n v="113.8"/>
    <n v="258.39999999999998"/>
    <n v="125.1"/>
    <n v="125.1"/>
    <n v="122"/>
    <n v="2784.7999999999997"/>
  </r>
  <r>
    <x v="1"/>
    <x v="2"/>
    <s v="October"/>
    <n v="1828.1000000000001"/>
    <n v="231.2"/>
    <n v="109.3"/>
    <n v="243.2"/>
    <n v="243.10000000000002"/>
    <n v="126.5"/>
    <n v="117.7"/>
    <n v="2899.1"/>
  </r>
  <r>
    <x v="2"/>
    <x v="2"/>
    <s v="October"/>
    <n v="1811.4999999999998"/>
    <n v="232.60000000000002"/>
    <n v="111.4"/>
    <n v="252.3"/>
    <n v="245.4"/>
    <n v="125.9"/>
    <n v="120.4"/>
    <n v="2899.5000000000005"/>
  </r>
  <r>
    <x v="0"/>
    <x v="2"/>
    <s v="November"/>
    <n v="1818.5"/>
    <n v="235.10000000000002"/>
    <n v="114"/>
    <n v="260.29999999999995"/>
    <n v="125.6"/>
    <n v="125.8"/>
    <n v="122.6"/>
    <n v="2801.8999999999996"/>
  </r>
  <r>
    <x v="1"/>
    <x v="2"/>
    <s v="November"/>
    <n v="1846.0999999999997"/>
    <n v="231.2"/>
    <n v="109.3"/>
    <n v="244.3"/>
    <n v="243.9"/>
    <n v="126.6"/>
    <n v="118.1"/>
    <n v="2919.5"/>
  </r>
  <r>
    <x v="2"/>
    <x v="2"/>
    <s v="November"/>
    <n v="1825.6999999999998"/>
    <n v="233"/>
    <n v="111.5"/>
    <n v="253.8"/>
    <n v="246.3"/>
    <n v="126.3"/>
    <n v="120.9"/>
    <n v="2917.5000000000005"/>
  </r>
  <r>
    <x v="0"/>
    <x v="2"/>
    <s v="December"/>
    <n v="1815.4"/>
    <n v="235.7"/>
    <n v="114"/>
    <n v="261"/>
    <n v="126"/>
    <n v="125.6"/>
    <n v="123.1"/>
    <n v="2800.7999999999997"/>
  </r>
  <r>
    <x v="1"/>
    <x v="2"/>
    <s v="December"/>
    <n v="1837"/>
    <n v="231.3"/>
    <n v="109.3"/>
    <n v="244.9"/>
    <n v="243.4"/>
    <n v="126.6"/>
    <n v="118.6"/>
    <n v="2911.1000000000004"/>
  </r>
  <r>
    <x v="2"/>
    <x v="2"/>
    <s v="December"/>
    <n v="1820.6000000000001"/>
    <n v="233.3"/>
    <n v="111.5"/>
    <n v="254.5"/>
    <n v="246"/>
    <n v="126.2"/>
    <n v="121.4"/>
    <n v="2913.5"/>
  </r>
  <r>
    <x v="0"/>
    <x v="3"/>
    <s v="January"/>
    <n v="1823.7"/>
    <n v="236.3"/>
    <n v="113.6"/>
    <n v="262.10000000000002"/>
    <n v="126.6"/>
    <n v="126.2"/>
    <n v="123.7"/>
    <n v="2812.1999999999994"/>
  </r>
  <r>
    <x v="1"/>
    <x v="3"/>
    <s v="January"/>
    <n v="1840.9"/>
    <n v="232.5"/>
    <n v="108.9"/>
    <n v="245.6"/>
    <n v="245"/>
    <n v="126.4"/>
    <n v="119.1"/>
    <n v="2918.4"/>
  </r>
  <r>
    <x v="2"/>
    <x v="3"/>
    <s v="January"/>
    <n v="1826.9"/>
    <n v="234.3"/>
    <n v="111.1"/>
    <n v="255.4"/>
    <n v="247.60000000000002"/>
    <n v="126.3"/>
    <n v="122"/>
    <n v="2923.6000000000004"/>
  </r>
  <r>
    <x v="0"/>
    <x v="3"/>
    <s v="February"/>
    <n v="1817"/>
    <n v="239.1"/>
    <n v="113.9"/>
    <n v="263.70000000000005"/>
    <n v="127.1"/>
    <n v="127.1"/>
    <n v="124.3"/>
    <n v="2812.2"/>
  </r>
  <r>
    <x v="1"/>
    <x v="3"/>
    <s v="February"/>
    <n v="1816.1"/>
    <n v="235"/>
    <n v="109.1"/>
    <n v="246.3"/>
    <n v="246.2"/>
    <n v="126.3"/>
    <n v="119.5"/>
    <n v="2898.5"/>
  </r>
  <r>
    <x v="2"/>
    <x v="3"/>
    <s v="February"/>
    <n v="1814"/>
    <n v="236.89999999999998"/>
    <n v="111.4"/>
    <n v="256.7"/>
    <n v="249"/>
    <n v="126.6"/>
    <n v="122.5"/>
    <n v="2917.1"/>
  </r>
  <r>
    <x v="0"/>
    <x v="3"/>
    <s v="March"/>
    <n v="1817.7000000000003"/>
    <n v="239.9"/>
    <n v="113.6"/>
    <n v="264.60000000000002"/>
    <n v="127.7"/>
    <n v="127.5"/>
    <n v="124.8"/>
    <n v="2815.8"/>
  </r>
  <r>
    <x v="1"/>
    <x v="3"/>
    <s v="March"/>
    <n v="1808.2"/>
    <n v="236.2"/>
    <n v="108.5"/>
    <n v="246.7"/>
    <n v="247.2"/>
    <n v="126.4"/>
    <n v="119.7"/>
    <n v="2892.8999999999996"/>
  </r>
  <r>
    <x v="2"/>
    <x v="3"/>
    <s v="March"/>
    <n v="1811.7"/>
    <n v="237.89999999999998"/>
    <n v="110.9"/>
    <n v="257.39999999999998"/>
    <n v="250"/>
    <n v="126.9"/>
    <n v="122.9"/>
    <n v="2917.7000000000003"/>
  </r>
  <r>
    <x v="0"/>
    <x v="3"/>
    <s v="April"/>
    <n v="1837.1000000000004"/>
    <n v="241.60000000000002"/>
    <n v="114.4"/>
    <n v="265.60000000000002"/>
    <n v="128"/>
    <n v="127.9"/>
    <n v="125.2"/>
    <n v="2839.8"/>
  </r>
  <r>
    <x v="1"/>
    <x v="3"/>
    <s v="April"/>
    <n v="1847.8"/>
    <n v="237.1"/>
    <n v="110"/>
    <n v="247.3"/>
    <n v="248.39999999999998"/>
    <n v="127.6"/>
    <n v="120"/>
    <n v="2938.2000000000003"/>
  </r>
  <r>
    <x v="2"/>
    <x v="3"/>
    <s v="April"/>
    <n v="1838.3999999999999"/>
    <n v="239.2"/>
    <n v="112.1"/>
    <n v="258.20000000000005"/>
    <n v="251.1"/>
    <n v="127.7"/>
    <n v="123.2"/>
    <n v="2949.8999999999992"/>
  </r>
  <r>
    <x v="0"/>
    <x v="3"/>
    <s v="May"/>
    <n v="1859.6999999999998"/>
    <n v="243.3"/>
    <n v="115.1"/>
    <n v="266.5"/>
    <n v="128.5"/>
    <n v="129.1"/>
    <n v="125.8"/>
    <n v="2868"/>
  </r>
  <r>
    <x v="1"/>
    <x v="3"/>
    <s v="May"/>
    <n v="1888.9999999999998"/>
    <n v="238.3"/>
    <n v="110.7"/>
    <n v="247.9"/>
    <n v="249.2"/>
    <n v="128"/>
    <n v="120.3"/>
    <n v="2983.3999999999996"/>
  </r>
  <r>
    <x v="2"/>
    <x v="3"/>
    <s v="May"/>
    <n v="1868.1000000000001"/>
    <n v="240.7"/>
    <n v="112.8"/>
    <n v="259"/>
    <n v="252"/>
    <n v="128.5"/>
    <n v="123.7"/>
    <n v="2984.8"/>
  </r>
  <r>
    <x v="0"/>
    <x v="3"/>
    <s v="June"/>
    <n v="1885.8"/>
    <n v="244"/>
    <n v="116.3"/>
    <n v="267.89999999999998"/>
    <n v="129.30000000000001"/>
    <n v="130.19999999999999"/>
    <n v="126.2"/>
    <n v="2899.7000000000003"/>
  </r>
  <r>
    <x v="1"/>
    <x v="3"/>
    <s v="June"/>
    <n v="1929.7000000000003"/>
    <n v="238.7"/>
    <n v="112.3"/>
    <n v="248.7"/>
    <n v="248.7"/>
    <n v="129.30000000000001"/>
    <n v="120.6"/>
    <n v="3028"/>
  </r>
  <r>
    <x v="2"/>
    <x v="3"/>
    <s v="June"/>
    <n v="1899.3"/>
    <n v="241.10000000000002"/>
    <n v="114.2"/>
    <n v="260.10000000000002"/>
    <n v="251.9"/>
    <n v="129.69999999999999"/>
    <n v="124.1"/>
    <n v="3020.3999999999996"/>
  </r>
  <r>
    <x v="0"/>
    <x v="3"/>
    <s v="July"/>
    <n v="1908.2999999999997"/>
    <n v="246.10000000000002"/>
    <n v="116.4"/>
    <n v="269.39999999999998"/>
    <n v="130"/>
    <n v="130.80000000000001"/>
    <n v="126.7"/>
    <n v="2927.7"/>
  </r>
  <r>
    <x v="1"/>
    <x v="3"/>
    <s v="July"/>
    <n v="1954.4000000000003"/>
    <n v="240.3"/>
    <n v="111.7"/>
    <n v="249"/>
    <n v="249.9"/>
    <n v="130.80000000000001"/>
    <n v="120.9"/>
    <n v="3057.0000000000005"/>
  </r>
  <r>
    <x v="2"/>
    <x v="3"/>
    <s v="July"/>
    <n v="1922.8"/>
    <n v="242.9"/>
    <n v="113.9"/>
    <n v="261.10000000000002"/>
    <n v="253.3"/>
    <n v="130.80000000000001"/>
    <n v="124.5"/>
    <n v="3049.3"/>
  </r>
  <r>
    <x v="0"/>
    <x v="3"/>
    <s v="August"/>
    <n v="1916.3999999999999"/>
    <n v="247.5"/>
    <n v="116"/>
    <n v="270.8"/>
    <n v="130.6"/>
    <n v="131.9"/>
    <n v="127"/>
    <n v="2940.2"/>
  </r>
  <r>
    <x v="1"/>
    <x v="3"/>
    <s v="August"/>
    <n v="1927.5999999999995"/>
    <n v="241.5"/>
    <n v="110.4"/>
    <n v="249.70000000000002"/>
    <n v="251.2"/>
    <n v="131.5"/>
    <n v="121.2"/>
    <n v="3033.099999999999"/>
  </r>
  <r>
    <x v="2"/>
    <x v="3"/>
    <s v="August"/>
    <n v="1918.1000000000001"/>
    <n v="244.2"/>
    <n v="113.1"/>
    <n v="262.29999999999995"/>
    <n v="254.7"/>
    <n v="131.69999999999999"/>
    <n v="124.8"/>
    <n v="3048.8999999999996"/>
  </r>
  <r>
    <x v="0"/>
    <x v="3"/>
    <s v="September"/>
    <n v="1910.6000000000001"/>
    <n v="248.5"/>
    <n v="117"/>
    <n v="272"/>
    <n v="131.1"/>
    <n v="132.19999999999999"/>
    <n v="127.8"/>
    <n v="2939.2000000000003"/>
  </r>
  <r>
    <x v="1"/>
    <x v="3"/>
    <s v="September"/>
    <n v="1900.2999999999997"/>
    <n v="242"/>
    <n v="111.8"/>
    <n v="250.29999999999998"/>
    <n v="252.2"/>
    <n v="131.6"/>
    <n v="121.4"/>
    <n v="3009.6"/>
  </r>
  <r>
    <x v="2"/>
    <x v="3"/>
    <s v="September"/>
    <n v="1904.6999999999998"/>
    <n v="245"/>
    <n v="114.3"/>
    <n v="263.2"/>
    <n v="255.8"/>
    <n v="131.80000000000001"/>
    <n v="125.4"/>
    <n v="3040.2000000000003"/>
  </r>
  <r>
    <x v="0"/>
    <x v="3"/>
    <s v="October"/>
    <n v="1912.7000000000003"/>
    <n v="249.5"/>
    <n v="117.8"/>
    <n v="273.89999999999998"/>
    <n v="131.80000000000001"/>
    <n v="133"/>
    <n v="128.69999999999999"/>
    <n v="2947.4000000000005"/>
  </r>
  <r>
    <x v="1"/>
    <x v="3"/>
    <s v="October"/>
    <n v="1907.1999999999998"/>
    <n v="242"/>
    <n v="112.8"/>
    <n v="251"/>
    <n v="253.2"/>
    <n v="131.9"/>
    <n v="121.8"/>
    <n v="3019.9"/>
  </r>
  <r>
    <x v="2"/>
    <x v="3"/>
    <s v="October"/>
    <n v="1908.5999999999995"/>
    <n v="245.6"/>
    <n v="115.2"/>
    <n v="264.60000000000002"/>
    <n v="257.10000000000002"/>
    <n v="132.4"/>
    <n v="126.1"/>
    <n v="3049.599999999999"/>
  </r>
  <r>
    <x v="0"/>
    <x v="3"/>
    <s v="November"/>
    <n v="1905.8"/>
    <n v="250.4"/>
    <n v="118.2"/>
    <n v="274.39999999999998"/>
    <n v="132.1"/>
    <n v="133.69999999999999"/>
    <n v="129.1"/>
    <n v="2943.6999999999994"/>
  </r>
  <r>
    <x v="1"/>
    <x v="3"/>
    <s v="November"/>
    <n v="1899.5"/>
    <n v="243"/>
    <n v="113.4"/>
    <n v="251.7"/>
    <n v="253.8"/>
    <n v="132.1"/>
    <n v="122.1"/>
    <n v="3015.6"/>
  </r>
  <r>
    <x v="2"/>
    <x v="3"/>
    <s v="November"/>
    <n v="1901.8"/>
    <n v="246.6"/>
    <n v="115.7"/>
    <n v="265.10000000000002"/>
    <n v="257.7"/>
    <n v="132.80000000000001"/>
    <n v="126.4"/>
    <n v="3046.1"/>
  </r>
  <r>
    <x v="0"/>
    <x v="3"/>
    <s v="December"/>
    <n v="1891.5"/>
    <n v="249.2"/>
    <n v="118.6"/>
    <n v="275.60000000000002"/>
    <n v="132.9"/>
    <n v="134.19999999999999"/>
    <n v="129.69999999999999"/>
    <n v="2931.6999999999994"/>
  </r>
  <r>
    <x v="1"/>
    <x v="3"/>
    <s v="December"/>
    <n v="1874.8"/>
    <n v="241.7"/>
    <n v="113.7"/>
    <n v="252.2"/>
    <n v="253.5"/>
    <n v="132.30000000000001"/>
    <n v="122.3"/>
    <n v="2990.5"/>
  </r>
  <r>
    <x v="2"/>
    <x v="3"/>
    <s v="December"/>
    <n v="1883.8"/>
    <n v="245.3"/>
    <n v="116"/>
    <n v="266.10000000000002"/>
    <n v="257.7"/>
    <n v="133.1"/>
    <n v="126.9"/>
    <n v="3028.8999999999996"/>
  </r>
  <r>
    <x v="0"/>
    <x v="4"/>
    <s v="January"/>
    <n v="1880.4"/>
    <n v="249.3"/>
    <n v="119.1"/>
    <n v="276.5"/>
    <n v="133.19999999999999"/>
    <n v="134.6"/>
    <n v="129.9"/>
    <n v="2923"/>
  </r>
  <r>
    <x v="1"/>
    <x v="4"/>
    <s v="January"/>
    <n v="1858.8"/>
    <n v="242.9"/>
    <n v="115.2"/>
    <n v="252.5"/>
    <n v="254.7"/>
    <n v="132.4"/>
    <n v="122.6"/>
    <n v="2979.0999999999995"/>
  </r>
  <r>
    <x v="2"/>
    <x v="4"/>
    <s v="January"/>
    <n v="1871.0999999999995"/>
    <n v="245.9"/>
    <n v="117"/>
    <n v="266.79999999999995"/>
    <n v="259"/>
    <n v="133.30000000000001"/>
    <n v="127.1"/>
    <n v="3020.1999999999994"/>
  </r>
  <r>
    <x v="0"/>
    <x v="4"/>
    <s v="February"/>
    <n v="1878.2000000000003"/>
    <n v="250.9"/>
    <n v="119.5"/>
    <n v="276.70000000000005"/>
    <n v="133.6"/>
    <n v="134.9"/>
    <n v="130.1"/>
    <n v="2923.9"/>
  </r>
  <r>
    <x v="1"/>
    <x v="4"/>
    <s v="February"/>
    <n v="1851.6000000000001"/>
    <n v="243.9"/>
    <n v="115.5"/>
    <n v="253"/>
    <n v="255.8"/>
    <n v="132.4"/>
    <n v="122.9"/>
    <n v="2975.1000000000004"/>
  </r>
  <r>
    <x v="2"/>
    <x v="4"/>
    <s v="February"/>
    <n v="1866.7000000000003"/>
    <n v="247.2"/>
    <n v="117.4"/>
    <n v="267.10000000000002"/>
    <n v="260.2"/>
    <n v="133.4"/>
    <n v="127.4"/>
    <n v="3019.4"/>
  </r>
  <r>
    <x v="0"/>
    <x v="4"/>
    <s v="March"/>
    <n v="1872.7000000000003"/>
    <n v="251.60000000000002"/>
    <n v="119.8"/>
    <n v="277.79999999999995"/>
    <n v="134.1"/>
    <n v="135.19999999999999"/>
    <n v="130.6"/>
    <n v="2921.8"/>
  </r>
  <r>
    <x v="1"/>
    <x v="4"/>
    <s v="March"/>
    <n v="1853.1999999999998"/>
    <n v="244.10000000000002"/>
    <n v="115.6"/>
    <n v="253.60000000000002"/>
    <n v="256.7"/>
    <n v="132.80000000000001"/>
    <n v="123.1"/>
    <n v="2979.0999999999995"/>
  </r>
  <r>
    <x v="2"/>
    <x v="4"/>
    <s v="March"/>
    <n v="1864"/>
    <n v="247.6"/>
    <n v="117.6"/>
    <n v="267.89999999999998"/>
    <n v="261.2"/>
    <n v="133.80000000000001"/>
    <n v="127.8"/>
    <n v="3019.9"/>
  </r>
  <r>
    <x v="0"/>
    <x v="4"/>
    <s v="April"/>
    <n v="1870.7"/>
    <n v="252"/>
    <n v="119.2"/>
    <n v="279.20000000000005"/>
    <n v="134.30000000000001"/>
    <n v="135.69999999999999"/>
    <n v="131"/>
    <n v="2922.0999999999995"/>
  </r>
  <r>
    <x v="1"/>
    <x v="4"/>
    <s v="April"/>
    <n v="1856.1"/>
    <n v="244.8"/>
    <n v="114.3"/>
    <n v="254.2"/>
    <n v="257.7"/>
    <n v="133.6"/>
    <n v="123.4"/>
    <n v="2984.1"/>
  </r>
  <r>
    <x v="2"/>
    <x v="4"/>
    <s v="April"/>
    <n v="1863.8000000000002"/>
    <n v="248.2"/>
    <n v="116.6"/>
    <n v="269.10000000000002"/>
    <n v="262.10000000000002"/>
    <n v="134.5"/>
    <n v="128.1"/>
    <n v="3022.3999999999996"/>
  </r>
  <r>
    <x v="0"/>
    <x v="4"/>
    <s v="May"/>
    <n v="1872.9999999999995"/>
    <n v="253.10000000000002"/>
    <n v="119.4"/>
    <n v="279.8"/>
    <n v="134.9"/>
    <n v="136.30000000000001"/>
    <n v="131.4"/>
    <n v="2927.9"/>
  </r>
  <r>
    <x v="1"/>
    <x v="4"/>
    <s v="May"/>
    <n v="1857.8999999999999"/>
    <n v="244.8"/>
    <n v="114.3"/>
    <n v="254.7"/>
    <n v="258.60000000000002"/>
    <n v="133.80000000000001"/>
    <n v="123.6"/>
    <n v="2987.7"/>
  </r>
  <r>
    <x v="2"/>
    <x v="4"/>
    <s v="May"/>
    <n v="1865.8000000000002"/>
    <n v="248.7"/>
    <n v="116.7"/>
    <n v="269.60000000000002"/>
    <n v="263"/>
    <n v="134.80000000000001"/>
    <n v="128.4"/>
    <n v="3027"/>
  </r>
  <r>
    <x v="0"/>
    <x v="4"/>
    <s v="June"/>
    <n v="1884.6000000000001"/>
    <n v="253.9"/>
    <n v="119.4"/>
    <n v="280.79999999999995"/>
    <n v="135.19999999999999"/>
    <n v="136.9"/>
    <n v="131.30000000000001"/>
    <n v="2942.1"/>
  </r>
  <r>
    <x v="1"/>
    <x v="4"/>
    <s v="June"/>
    <n v="1879.6000000000001"/>
    <n v="245.4"/>
    <n v="113.9"/>
    <n v="254.7"/>
    <n v="258.2"/>
    <n v="134.30000000000001"/>
    <n v="123.8"/>
    <n v="3009.9"/>
  </r>
  <r>
    <x v="2"/>
    <x v="4"/>
    <s v="June"/>
    <n v="1881.2"/>
    <n v="249.3"/>
    <n v="116.5"/>
    <n v="270.2"/>
    <n v="262.60000000000002"/>
    <n v="135.4"/>
    <n v="128.5"/>
    <n v="3043.7"/>
  </r>
  <r>
    <x v="0"/>
    <x v="4"/>
    <s v="July"/>
    <n v="1920.3000000000002"/>
    <n v="255"/>
    <n v="119.1"/>
    <n v="282.39999999999998"/>
    <n v="136.1"/>
    <n v="138.6"/>
    <n v="132.1"/>
    <n v="2983.6"/>
  </r>
  <r>
    <x v="1"/>
    <x v="4"/>
    <s v="July"/>
    <n v="1918.6"/>
    <n v="245.9"/>
    <n v="113.2"/>
    <n v="255.3"/>
    <n v="259.8"/>
    <n v="135.5"/>
    <n v="125"/>
    <n v="3053.3"/>
  </r>
  <r>
    <x v="2"/>
    <x v="4"/>
    <s v="July"/>
    <n v="1917.6"/>
    <n v="250.2"/>
    <n v="116"/>
    <n v="271.39999999999998"/>
    <n v="264.5"/>
    <n v="136.80000000000001"/>
    <n v="129.4"/>
    <n v="3085.9"/>
  </r>
  <r>
    <x v="0"/>
    <x v="4"/>
    <s v="August"/>
    <n v="1941.4999999999998"/>
    <n v="256.89999999999998"/>
    <n v="120.3"/>
    <n v="284.5"/>
    <n v="137.30000000000001"/>
    <n v="140.19999999999999"/>
    <n v="133"/>
    <n v="3013.7"/>
  </r>
  <r>
    <x v="1"/>
    <x v="4"/>
    <s v="August"/>
    <n v="1925.0999999999997"/>
    <n v="247.39999999999998"/>
    <n v="114.6"/>
    <n v="257"/>
    <n v="262.10000000000002"/>
    <n v="135.69999999999999"/>
    <n v="125.7"/>
    <n v="3067.599999999999"/>
  </r>
  <r>
    <x v="2"/>
    <x v="4"/>
    <s v="August"/>
    <n v="1933.6"/>
    <n v="251.8"/>
    <n v="117.3"/>
    <n v="273.3"/>
    <n v="267.20000000000005"/>
    <n v="137.6"/>
    <n v="130.19999999999999"/>
    <n v="3111.0000000000005"/>
  </r>
  <r>
    <x v="0"/>
    <x v="4"/>
    <s v="September"/>
    <n v="1934.1"/>
    <n v="259"/>
    <n v="121.2"/>
    <n v="285.79999999999995"/>
    <n v="137.9"/>
    <n v="139.6"/>
    <n v="133.4"/>
    <n v="3010.9999999999995"/>
  </r>
  <r>
    <x v="1"/>
    <x v="4"/>
    <s v="September"/>
    <n v="1903.3"/>
    <n v="248.9"/>
    <n v="115.7"/>
    <n v="257.89999999999998"/>
    <n v="263.79999999999995"/>
    <n v="135.9"/>
    <n v="126.1"/>
    <n v="3051.5999999999995"/>
  </r>
  <r>
    <x v="2"/>
    <x v="4"/>
    <s v="September"/>
    <n v="1920.7999999999997"/>
    <n v="253.60000000000002"/>
    <n v="118.3"/>
    <n v="274.5"/>
    <n v="269"/>
    <n v="137.4"/>
    <n v="130.6"/>
    <n v="3104.2"/>
  </r>
  <r>
    <x v="0"/>
    <x v="4"/>
    <s v="October"/>
    <n v="1941.3999999999999"/>
    <n v="260.39999999999998"/>
    <n v="121"/>
    <n v="287.79999999999995"/>
    <n v="138.4"/>
    <n v="140.1"/>
    <n v="134.19999999999999"/>
    <n v="3023.2999999999993"/>
  </r>
  <r>
    <x v="1"/>
    <x v="4"/>
    <s v="October"/>
    <n v="1920.2999999999997"/>
    <n v="249.39999999999998"/>
    <n v="115"/>
    <n v="258.89999999999998"/>
    <n v="265.60000000000002"/>
    <n v="136.30000000000001"/>
    <n v="126.6"/>
    <n v="3072.1"/>
  </r>
  <r>
    <x v="2"/>
    <x v="4"/>
    <s v="October"/>
    <n v="1931.2999999999997"/>
    <n v="254.60000000000002"/>
    <n v="117.8"/>
    <n v="276.10000000000002"/>
    <n v="270.89999999999998"/>
    <n v="137.9"/>
    <n v="131.30000000000001"/>
    <n v="3119.9"/>
  </r>
  <r>
    <x v="0"/>
    <x v="4"/>
    <s v="November"/>
    <n v="1969.8000000000002"/>
    <n v="261.79999999999995"/>
    <n v="121.6"/>
    <n v="289.7"/>
    <n v="139.4"/>
    <n v="141.5"/>
    <n v="135.80000000000001"/>
    <n v="3059.6000000000004"/>
  </r>
  <r>
    <x v="1"/>
    <x v="4"/>
    <s v="November"/>
    <n v="1952.9"/>
    <n v="250"/>
    <n v="115.3"/>
    <n v="260.39999999999998"/>
    <n v="267.39999999999998"/>
    <n v="136.6"/>
    <n v="127.4"/>
    <n v="3110.0000000000005"/>
  </r>
  <r>
    <x v="2"/>
    <x v="4"/>
    <s v="November"/>
    <n v="1961.4"/>
    <n v="255.7"/>
    <n v="118.3"/>
    <n v="277.8"/>
    <n v="273"/>
    <n v="138.6"/>
    <n v="132.6"/>
    <n v="3157.4"/>
  </r>
  <r>
    <x v="0"/>
    <x v="4"/>
    <s v="December"/>
    <n v="1966.8000000000002"/>
    <n v="261.2"/>
    <n v="122"/>
    <n v="289.89999999999998"/>
    <n v="139.5"/>
    <n v="141.1"/>
    <n v="136.1"/>
    <n v="3056.6"/>
  </r>
  <r>
    <x v="1"/>
    <x v="4"/>
    <s v="December"/>
    <n v="1924.5"/>
    <n v="250.2"/>
    <n v="115.3"/>
    <n v="261.2"/>
    <n v="268.39999999999998"/>
    <n v="136.69999999999999"/>
    <n v="128.19999999999999"/>
    <n v="3084.4999999999995"/>
  </r>
  <r>
    <x v="2"/>
    <x v="4"/>
    <s v="December"/>
    <n v="1949.1999999999998"/>
    <n v="255.5"/>
    <n v="118.5"/>
    <n v="278.2"/>
    <n v="273.79999999999995"/>
    <n v="138.5"/>
    <n v="133.1"/>
    <n v="3146.7999999999997"/>
  </r>
  <r>
    <x v="0"/>
    <x v="5"/>
    <s v="January"/>
    <n v="1954.3"/>
    <n v="262.89999999999998"/>
    <n v="122.7"/>
    <n v="290.60000000000002"/>
    <n v="139.80000000000001"/>
    <n v="141.6"/>
    <n v="136"/>
    <n v="3047.8999999999996"/>
  </r>
  <r>
    <x v="1"/>
    <x v="5"/>
    <s v="January"/>
    <n v="1906.0000000000002"/>
    <n v="251.7"/>
    <n v="116.3"/>
    <n v="261.89999999999998"/>
    <n v="269.89999999999998"/>
    <n v="137.1"/>
    <n v="129"/>
    <n v="3071.9000000000005"/>
  </r>
  <r>
    <x v="2"/>
    <x v="5"/>
    <s v="January"/>
    <n v="1934.6000000000001"/>
    <n v="257"/>
    <n v="119.3"/>
    <n v="279"/>
    <n v="275.3"/>
    <n v="139"/>
    <n v="133.30000000000001"/>
    <n v="3137.5000000000009"/>
  </r>
  <r>
    <x v="0"/>
    <x v="5"/>
    <s v="February"/>
    <n v="1934.8"/>
    <n v="263.10000000000002"/>
    <n v="123.3"/>
    <n v="291.10000000000002"/>
    <n v="139.9"/>
    <n v="141.5"/>
    <n v="136.19999999999999"/>
    <n v="3029.9"/>
  </r>
  <r>
    <x v="1"/>
    <x v="5"/>
    <s v="February"/>
    <n v="1887.2"/>
    <n v="252.7"/>
    <n v="117.4"/>
    <n v="262.39999999999998"/>
    <n v="271.20000000000005"/>
    <n v="137.19999999999999"/>
    <n v="129.80000000000001"/>
    <n v="3057.9000000000005"/>
  </r>
  <r>
    <x v="2"/>
    <x v="5"/>
    <s v="February"/>
    <n v="1915.2999999999997"/>
    <n v="257.60000000000002"/>
    <n v="120.2"/>
    <n v="279.39999999999998"/>
    <n v="276.5"/>
    <n v="139"/>
    <n v="133.80000000000001"/>
    <n v="3121.7999999999997"/>
  </r>
  <r>
    <x v="0"/>
    <x v="5"/>
    <s v="March"/>
    <n v="1937.0999999999997"/>
    <n v="264.39999999999998"/>
    <n v="124.6"/>
    <n v="292.2"/>
    <n v="139.9"/>
    <n v="142.69999999999999"/>
    <n v="136.69999999999999"/>
    <n v="3037.599999999999"/>
  </r>
  <r>
    <x v="1"/>
    <x v="5"/>
    <s v="March"/>
    <n v="1875.2"/>
    <n v="253.5"/>
    <n v="117.8"/>
    <n v="263.39999999999998"/>
    <n v="272.8"/>
    <n v="137.80000000000001"/>
    <n v="130.5"/>
    <n v="3051.0000000000005"/>
  </r>
  <r>
    <x v="2"/>
    <x v="5"/>
    <s v="March"/>
    <n v="1912.3"/>
    <n v="258.60000000000002"/>
    <n v="121"/>
    <n v="280.5"/>
    <n v="277.60000000000002"/>
    <n v="139.80000000000001"/>
    <n v="134.30000000000001"/>
    <n v="3124.1000000000004"/>
  </r>
  <r>
    <x v="0"/>
    <x v="5"/>
    <s v="April"/>
    <n v="1936.1"/>
    <n v="266.39999999999998"/>
    <n v="125.3"/>
    <n v="293.39999999999998"/>
    <n v="140.9"/>
    <n v="143.69999999999999"/>
    <n v="137.6"/>
    <n v="3043.4"/>
  </r>
  <r>
    <x v="1"/>
    <x v="5"/>
    <s v="April"/>
    <n v="1879.2000000000003"/>
    <n v="255.2"/>
    <n v="118.9"/>
    <n v="265.20000000000005"/>
    <n v="274.70000000000005"/>
    <n v="139.69999999999999"/>
    <n v="131.30000000000001"/>
    <n v="3064.2"/>
  </r>
  <r>
    <x v="2"/>
    <x v="5"/>
    <s v="April"/>
    <n v="1914.0000000000002"/>
    <n v="260.5"/>
    <n v="121.9"/>
    <n v="282"/>
    <n v="279.5"/>
    <n v="141.4"/>
    <n v="135.19999999999999"/>
    <n v="3134.5"/>
  </r>
  <r>
    <x v="0"/>
    <x v="5"/>
    <s v="May"/>
    <n v="1939.4"/>
    <n v="268"/>
    <n v="126.4"/>
    <n v="294.89999999999998"/>
    <n v="141.80000000000001"/>
    <n v="144.4"/>
    <n v="138.4"/>
    <n v="3053.3000000000006"/>
  </r>
  <r>
    <x v="1"/>
    <x v="5"/>
    <s v="May"/>
    <n v="1883.1999999999998"/>
    <n v="256.10000000000002"/>
    <n v="119.8"/>
    <n v="266.5"/>
    <n v="275.7"/>
    <n v="140.4"/>
    <n v="132"/>
    <n v="3073.7"/>
  </r>
  <r>
    <x v="2"/>
    <x v="5"/>
    <s v="May"/>
    <n v="1917.7"/>
    <n v="261.70000000000005"/>
    <n v="122.9"/>
    <n v="283.39999999999998"/>
    <n v="280.60000000000002"/>
    <n v="142.1"/>
    <n v="136"/>
    <n v="3144.4"/>
  </r>
  <r>
    <x v="0"/>
    <x v="5"/>
    <s v="June"/>
    <n v="1947.5999999999997"/>
    <n v="269.20000000000005"/>
    <n v="127.4"/>
    <n v="296"/>
    <n v="142.19999999999999"/>
    <n v="145.1"/>
    <n v="138.4"/>
    <n v="3065.8999999999996"/>
  </r>
  <r>
    <x v="1"/>
    <x v="5"/>
    <s v="June"/>
    <n v="1908.3000000000002"/>
    <n v="256.7"/>
    <n v="120.4"/>
    <n v="267.60000000000002"/>
    <n v="275.60000000000002"/>
    <n v="141.19999999999999"/>
    <n v="132.6"/>
    <n v="3102.3999999999996"/>
  </r>
  <r>
    <x v="2"/>
    <x v="5"/>
    <s v="June"/>
    <n v="1932.4"/>
    <n v="262.7"/>
    <n v="123.7"/>
    <n v="284.5"/>
    <n v="280.39999999999998"/>
    <n v="142.80000000000001"/>
    <n v="136.19999999999999"/>
    <n v="3162.7"/>
  </r>
  <r>
    <x v="0"/>
    <x v="5"/>
    <s v="July"/>
    <n v="1966.6000000000001"/>
    <n v="269.8"/>
    <n v="127.5"/>
    <n v="296.60000000000002"/>
    <n v="143.1"/>
    <n v="145.80000000000001"/>
    <n v="139"/>
    <n v="3088.4"/>
  </r>
  <r>
    <x v="1"/>
    <x v="5"/>
    <s v="July"/>
    <n v="1932.5"/>
    <n v="257.2"/>
    <n v="120.1"/>
    <n v="268.5"/>
    <n v="277.2"/>
    <n v="144"/>
    <n v="133.6"/>
    <n v="3133.0999999999995"/>
  </r>
  <r>
    <x v="2"/>
    <x v="5"/>
    <s v="July"/>
    <n v="1952.8"/>
    <n v="263.2"/>
    <n v="123.6"/>
    <n v="285.20000000000005"/>
    <n v="282.2"/>
    <n v="144.69999999999999"/>
    <n v="137"/>
    <n v="3188.7"/>
  </r>
  <r>
    <x v="0"/>
    <x v="5"/>
    <s v="August"/>
    <n v="1975.2"/>
    <n v="269.89999999999998"/>
    <n v="128.30000000000001"/>
    <n v="297.89999999999998"/>
    <n v="143.80000000000001"/>
    <n v="146.9"/>
    <n v="139.4"/>
    <n v="3101.4000000000005"/>
  </r>
  <r>
    <x v="1"/>
    <x v="5"/>
    <s v="August"/>
    <n v="1929.6999999999998"/>
    <n v="258.10000000000002"/>
    <n v="120.7"/>
    <n v="269"/>
    <n v="279"/>
    <n v="145.30000000000001"/>
    <n v="134.9"/>
    <n v="3136.7"/>
  </r>
  <r>
    <x v="2"/>
    <x v="5"/>
    <s v="August"/>
    <n v="1956.6000000000004"/>
    <n v="263.7"/>
    <n v="124.3"/>
    <n v="286.10000000000002"/>
    <n v="284"/>
    <n v="146"/>
    <n v="137.69999999999999"/>
    <n v="3198.4"/>
  </r>
  <r>
    <x v="0"/>
    <x v="5"/>
    <s v="September"/>
    <n v="1957.5000000000002"/>
    <n v="272"/>
    <n v="129.9"/>
    <n v="298.2"/>
    <n v="144"/>
    <n v="147.6"/>
    <n v="140"/>
    <n v="3089.2"/>
  </r>
  <r>
    <x v="1"/>
    <x v="5"/>
    <s v="September"/>
    <n v="1911.7"/>
    <n v="259.5"/>
    <n v="122.5"/>
    <n v="270.10000000000002"/>
    <n v="280.20000000000005"/>
    <n v="145.19999999999999"/>
    <n v="135.69999999999999"/>
    <n v="3124.8999999999996"/>
  </r>
  <r>
    <x v="2"/>
    <x v="5"/>
    <s v="September"/>
    <n v="1938.7"/>
    <n v="265.39999999999998"/>
    <n v="126"/>
    <n v="286.79999999999995"/>
    <n v="285"/>
    <n v="146.19999999999999"/>
    <n v="138.4"/>
    <n v="3186.4999999999995"/>
  </r>
  <r>
    <x v="0"/>
    <x v="5"/>
    <s v="October"/>
    <n v="1941.8"/>
    <n v="274.5"/>
    <n v="130.80000000000001"/>
    <n v="295.2"/>
    <n v="147.5"/>
    <n v="148"/>
    <n v="144.80000000000001"/>
    <n v="3082.6000000000004"/>
  </r>
  <r>
    <x v="1"/>
    <x v="5"/>
    <s v="October"/>
    <n v="1918.1"/>
    <n v="261.10000000000002"/>
    <n v="123.3"/>
    <n v="271.3"/>
    <n v="281.39999999999998"/>
    <n v="145.5"/>
    <n v="136.19999999999999"/>
    <n v="3136.9"/>
  </r>
  <r>
    <x v="2"/>
    <x v="5"/>
    <s v="October"/>
    <n v="1938.8"/>
    <n v="268.5"/>
    <n v="125.5"/>
    <n v="287.2"/>
    <n v="289.10000000000002"/>
    <n v="147.80000000000001"/>
    <n v="142.1"/>
    <n v="3199"/>
  </r>
  <r>
    <x v="0"/>
    <x v="5"/>
    <s v="November"/>
    <n v="1949.3999999999996"/>
    <n v="276.2"/>
    <n v="130.30000000000001"/>
    <n v="297.2"/>
    <n v="148"/>
    <n v="150.19999999999999"/>
    <n v="145.4"/>
    <n v="3096.6999999999994"/>
  </r>
  <r>
    <x v="1"/>
    <x v="5"/>
    <s v="November"/>
    <n v="1921.8999999999999"/>
    <n v="261.8"/>
    <n v="121.2"/>
    <n v="272.60000000000002"/>
    <n v="282.70000000000005"/>
    <n v="146.1"/>
    <n v="136.80000000000001"/>
    <n v="3143.1"/>
  </r>
  <r>
    <x v="2"/>
    <x v="5"/>
    <s v="November"/>
    <n v="1938.3000000000002"/>
    <n v="268.5"/>
    <n v="125.5"/>
    <n v="287.10000000000002"/>
    <n v="289.10000000000002"/>
    <n v="147.80000000000001"/>
    <n v="142.1"/>
    <n v="3198.4"/>
  </r>
  <r>
    <x v="0"/>
    <x v="5"/>
    <s v="December"/>
    <n v="1935.5000000000002"/>
    <n v="276.5"/>
    <n v="128.9"/>
    <n v="297.5"/>
    <n v="149.5"/>
    <n v="155.1"/>
    <n v="149.6"/>
    <n v="3092.6"/>
  </r>
  <r>
    <x v="1"/>
    <x v="5"/>
    <s v="December"/>
    <n v="1911.1999999999998"/>
    <n v="262.5"/>
    <n v="118.8"/>
    <n v="273"/>
    <n v="282.7"/>
    <n v="146.5"/>
    <n v="137.30000000000001"/>
    <n v="3132"/>
  </r>
  <r>
    <x v="2"/>
    <x v="5"/>
    <s v="December"/>
    <n v="1925.7999999999997"/>
    <n v="269"/>
    <n v="123.6"/>
    <n v="287.5"/>
    <n v="289.7"/>
    <n v="150.1"/>
    <n v="144.9"/>
    <n v="3190.5999999999995"/>
  </r>
  <r>
    <x v="0"/>
    <x v="6"/>
    <s v="January"/>
    <n v="1922.3000000000002"/>
    <n v="276.39999999999998"/>
    <n v="128.6"/>
    <n v="295.7"/>
    <n v="150.1"/>
    <n v="155.19999999999999"/>
    <n v="149.6"/>
    <n v="3077.8999999999996"/>
  </r>
  <r>
    <x v="1"/>
    <x v="6"/>
    <s v="January"/>
    <n v="1909.0000000000002"/>
    <n v="263.60000000000002"/>
    <n v="118.6"/>
    <n v="273.39999999999998"/>
    <n v="284"/>
    <n v="146.6"/>
    <n v="137.80000000000001"/>
    <n v="3133.0000000000005"/>
  </r>
  <r>
    <x v="2"/>
    <x v="6"/>
    <s v="January"/>
    <n v="1916.6"/>
    <n v="269.5"/>
    <n v="123.3"/>
    <n v="286.60000000000002"/>
    <n v="291.29999999999995"/>
    <n v="150.19999999999999"/>
    <n v="145.1"/>
    <n v="3182.6"/>
  </r>
  <r>
    <x v="0"/>
    <x v="6"/>
    <s v="February"/>
    <n v="1922.6000000000001"/>
    <n v="278.3"/>
    <n v="129.19999999999999"/>
    <n v="296.60000000000002"/>
    <n v="150.1"/>
    <n v="155.5"/>
    <n v="149.9"/>
    <n v="3082.2"/>
  </r>
  <r>
    <x v="1"/>
    <x v="6"/>
    <s v="February"/>
    <n v="1919.3000000000002"/>
    <n v="265.2"/>
    <n v="119.2"/>
    <n v="274.10000000000002"/>
    <n v="285.10000000000002"/>
    <n v="146.6"/>
    <n v="138.5"/>
    <n v="3147.9999999999995"/>
  </r>
  <r>
    <x v="2"/>
    <x v="6"/>
    <s v="February"/>
    <n v="1920.5"/>
    <n v="271.2"/>
    <n v="123.9"/>
    <n v="287.39999999999998"/>
    <n v="292.2"/>
    <n v="150.30000000000001"/>
    <n v="145.6"/>
    <n v="3191.1"/>
  </r>
  <r>
    <x v="0"/>
    <x v="6"/>
    <s v="March"/>
    <n v="1924.1000000000004"/>
    <n v="277.8"/>
    <n v="129.9"/>
    <n v="296.89999999999998"/>
    <n v="150"/>
    <n v="155.5"/>
    <n v="150.4"/>
    <n v="3084.6000000000008"/>
  </r>
  <r>
    <x v="1"/>
    <x v="6"/>
    <s v="March"/>
    <n v="1933.7"/>
    <n v="265.5"/>
    <n v="119.9"/>
    <n v="274.7"/>
    <n v="285.8"/>
    <n v="146.69999999999999"/>
    <n v="139.19999999999999"/>
    <n v="3165.4999999999995"/>
  </r>
  <r>
    <x v="2"/>
    <x v="6"/>
    <s v="March"/>
    <n v="1926.4"/>
    <n v="271.10000000000002"/>
    <n v="124.6"/>
    <n v="287.8"/>
    <n v="292.8"/>
    <n v="150.30000000000001"/>
    <n v="146.19999999999999"/>
    <n v="3199.2000000000003"/>
  </r>
  <r>
    <x v="0"/>
    <x v="6"/>
    <s v="May"/>
    <n v="1945.4"/>
    <n v="279.8"/>
    <n v="130.19999999999999"/>
    <n v="297.89999999999998"/>
    <n v="149.5"/>
    <n v="156.69999999999999"/>
    <n v="151.30000000000001"/>
    <n v="3110.8"/>
  </r>
  <r>
    <x v="1"/>
    <x v="6"/>
    <s v="May"/>
    <n v="1977.7000000000003"/>
    <n v="266.60000000000002"/>
    <n v="120.1"/>
    <n v="275.7"/>
    <n v="287.29999999999995"/>
    <n v="148"/>
    <n v="139.80000000000001"/>
    <n v="3215.2"/>
  </r>
  <r>
    <x v="2"/>
    <x v="6"/>
    <s v="May"/>
    <n v="1956.0000000000002"/>
    <n v="272.60000000000002"/>
    <n v="124.9"/>
    <n v="288.8"/>
    <n v="293.79999999999995"/>
    <n v="151.6"/>
    <n v="146.9"/>
    <n v="3234.6000000000004"/>
  </r>
  <r>
    <x v="0"/>
    <x v="6"/>
    <s v="June"/>
    <n v="1968.3999999999999"/>
    <n v="281.20000000000005"/>
    <n v="130.19999999999999"/>
    <n v="297.89999999999998"/>
    <n v="149.6"/>
    <n v="157.69999999999999"/>
    <n v="151.69999999999999"/>
    <n v="3136.6999999999994"/>
  </r>
  <r>
    <x v="1"/>
    <x v="6"/>
    <s v="June"/>
    <n v="1999.9999999999998"/>
    <n v="268"/>
    <n v="119.6"/>
    <n v="276"/>
    <n v="286.8"/>
    <n v="148.9"/>
    <n v="140.30000000000001"/>
    <n v="3239.6000000000004"/>
  </r>
  <r>
    <x v="2"/>
    <x v="6"/>
    <s v="June"/>
    <n v="1979.0000000000002"/>
    <n v="273.89999999999998"/>
    <n v="124.6"/>
    <n v="289"/>
    <n v="293.20000000000005"/>
    <n v="152.5"/>
    <n v="147.4"/>
    <n v="3259.6"/>
  </r>
  <r>
    <x v="0"/>
    <x v="6"/>
    <s v="July"/>
    <n v="1991.3999999999999"/>
    <n v="283.60000000000002"/>
    <n v="131.19999999999999"/>
    <n v="298.2"/>
    <n v="150"/>
    <n v="159.1"/>
    <n v="152.19999999999999"/>
    <n v="3165.6999999999994"/>
  </r>
  <r>
    <x v="1"/>
    <x v="6"/>
    <s v="July"/>
    <n v="2024.6"/>
    <n v="270.10000000000002"/>
    <n v="120.6"/>
    <n v="276.60000000000002"/>
    <n v="288.29999999999995"/>
    <n v="150.4"/>
    <n v="140.80000000000001"/>
    <n v="3271.4"/>
  </r>
  <r>
    <x v="2"/>
    <x v="6"/>
    <s v="July"/>
    <n v="2002.7"/>
    <n v="276.2"/>
    <n v="125.6"/>
    <n v="289.39999999999998"/>
    <n v="294.79999999999995"/>
    <n v="154"/>
    <n v="147.9"/>
    <n v="3290.6"/>
  </r>
  <r>
    <x v="0"/>
    <x v="6"/>
    <s v="August"/>
    <n v="1999.6000000000001"/>
    <n v="286.8"/>
    <n v="131.4"/>
    <n v="298.39999999999998"/>
    <n v="150.19999999999999"/>
    <n v="159.69999999999999"/>
    <n v="152.69999999999999"/>
    <n v="3178.7999999999997"/>
  </r>
  <r>
    <x v="1"/>
    <x v="6"/>
    <s v="August"/>
    <n v="2037"/>
    <n v="273.20000000000005"/>
    <n v="120.8"/>
    <n v="277.2"/>
    <n v="289.7"/>
    <n v="151.5"/>
    <n v="141.5"/>
    <n v="3290.8999999999996"/>
  </r>
  <r>
    <x v="2"/>
    <x v="6"/>
    <s v="August"/>
    <n v="2012.3"/>
    <n v="279.3"/>
    <n v="125.8"/>
    <n v="289.7"/>
    <n v="296.10000000000002"/>
    <n v="154.9"/>
    <n v="148.5"/>
    <n v="3306.6"/>
  </r>
  <r>
    <x v="0"/>
    <x v="6"/>
    <s v="September"/>
    <n v="2014.4"/>
    <n v="288.5"/>
    <n v="131.6"/>
    <n v="298.29999999999995"/>
    <n v="150.30000000000001"/>
    <n v="160.19999999999999"/>
    <n v="153.4"/>
    <n v="3196.7000000000003"/>
  </r>
  <r>
    <x v="1"/>
    <x v="6"/>
    <s v="September"/>
    <n v="2043.5"/>
    <n v="274.89999999999998"/>
    <n v="121.2"/>
    <n v="277.5"/>
    <n v="290.5"/>
    <n v="151.6"/>
    <n v="141.9"/>
    <n v="3301.1"/>
  </r>
  <r>
    <x v="2"/>
    <x v="6"/>
    <s v="September"/>
    <n v="2024.1999999999998"/>
    <n v="281"/>
    <n v="126.1"/>
    <n v="289.79999999999995"/>
    <n v="296.79999999999995"/>
    <n v="155.19999999999999"/>
    <n v="149"/>
    <n v="3322.0999999999995"/>
  </r>
  <r>
    <x v="0"/>
    <x v="6"/>
    <s v="October"/>
    <n v="2043.1999999999996"/>
    <n v="289"/>
    <n v="131.69999999999999"/>
    <n v="298.39999999999998"/>
    <n v="150.6"/>
    <n v="160.69999999999999"/>
    <n v="153.69999999999999"/>
    <n v="3227.2999999999993"/>
  </r>
  <r>
    <x v="1"/>
    <x v="6"/>
    <s v="October"/>
    <n v="2071.9"/>
    <n v="275.7"/>
    <n v="121.5"/>
    <n v="278.3"/>
    <n v="291.7"/>
    <n v="151.69999999999999"/>
    <n v="142.4"/>
    <n v="3333.2"/>
  </r>
  <r>
    <x v="2"/>
    <x v="6"/>
    <s v="October"/>
    <n v="2052.6999999999998"/>
    <n v="281.7"/>
    <n v="126.3"/>
    <n v="290.20000000000005"/>
    <n v="298"/>
    <n v="155.4"/>
    <n v="149.4"/>
    <n v="3353.7"/>
  </r>
  <r>
    <x v="0"/>
    <x v="6"/>
    <s v="November"/>
    <n v="2071.8000000000002"/>
    <n v="289.7"/>
    <n v="132.1"/>
    <n v="299.3"/>
    <n v="150.9"/>
    <n v="160.80000000000001"/>
    <n v="154.30000000000001"/>
    <n v="3258.9000000000005"/>
  </r>
  <r>
    <x v="1"/>
    <x v="6"/>
    <s v="November"/>
    <n v="2093.8999999999996"/>
    <n v="276.5"/>
    <n v="121.7"/>
    <n v="278.89999999999998"/>
    <n v="292.60000000000002"/>
    <n v="151.80000000000001"/>
    <n v="142.80000000000001"/>
    <n v="3358.2"/>
  </r>
  <r>
    <x v="2"/>
    <x v="6"/>
    <s v="November"/>
    <n v="2078.8000000000002"/>
    <n v="282.39999999999998"/>
    <n v="126.6"/>
    <n v="290.89999999999998"/>
    <n v="298.8"/>
    <n v="155.5"/>
    <n v="149.9"/>
    <n v="3382.9000000000005"/>
  </r>
  <r>
    <x v="0"/>
    <x v="6"/>
    <s v="December"/>
    <n v="2108.7999999999997"/>
    <n v="290.10000000000002"/>
    <n v="135"/>
    <n v="299.89999999999998"/>
    <n v="151.19999999999999"/>
    <n v="161.1"/>
    <n v="154.80000000000001"/>
    <n v="3300.8999999999996"/>
  </r>
  <r>
    <x v="1"/>
    <x v="6"/>
    <s v="December"/>
    <n v="2127.1"/>
    <n v="277"/>
    <n v="125.2"/>
    <n v="279.60000000000002"/>
    <n v="292.60000000000002"/>
    <n v="151.9"/>
    <n v="143.19999999999999"/>
    <n v="3396.5999999999995"/>
  </r>
  <r>
    <x v="2"/>
    <x v="6"/>
    <s v="December"/>
    <n v="2114.6000000000004"/>
    <n v="282.70000000000005"/>
    <n v="129.80000000000001"/>
    <n v="291.60000000000002"/>
    <n v="298.60000000000002"/>
    <n v="155.69999999999999"/>
    <n v="150.4"/>
    <n v="3423.4"/>
  </r>
  <r>
    <x v="0"/>
    <x v="7"/>
    <s v="January"/>
    <n v="2107.1999999999998"/>
    <n v="292.60000000000002"/>
    <n v="136.30000000000001"/>
    <n v="300.20000000000005"/>
    <n v="151.69999999999999"/>
    <n v="161.69999999999999"/>
    <n v="155.69999999999999"/>
    <n v="3305.3999999999996"/>
  </r>
  <r>
    <x v="1"/>
    <x v="7"/>
    <s v="January"/>
    <n v="2116.1999999999998"/>
    <n v="279.29999999999995"/>
    <n v="126.1"/>
    <n v="280.2"/>
    <n v="294"/>
    <n v="152.1"/>
    <n v="143.80000000000001"/>
    <n v="3391.7"/>
  </r>
  <r>
    <x v="2"/>
    <x v="7"/>
    <s v="January"/>
    <n v="2109.6"/>
    <n v="285.10000000000002"/>
    <n v="130.9"/>
    <n v="292"/>
    <n v="300.10000000000002"/>
    <n v="156.1"/>
    <n v="151.19999999999999"/>
    <n v="3424.9999999999995"/>
  </r>
  <r>
    <x v="0"/>
    <x v="7"/>
    <s v="February"/>
    <n v="2079.1999999999998"/>
    <n v="293.8"/>
    <n v="136"/>
    <n v="300.5"/>
    <n v="151.80000000000001"/>
    <n v="161.9"/>
    <n v="156.19999999999999"/>
    <n v="3279.4"/>
  </r>
  <r>
    <x v="1"/>
    <x v="7"/>
    <s v="February"/>
    <n v="2088.6"/>
    <n v="281.2"/>
    <n v="125.2"/>
    <n v="280.8"/>
    <n v="295.20000000000005"/>
    <n v="152.19999999999999"/>
    <n v="144.4"/>
    <n v="3367.6"/>
  </r>
  <r>
    <x v="2"/>
    <x v="7"/>
    <s v="February"/>
    <n v="2081.6999999999998"/>
    <n v="286.60000000000002"/>
    <n v="130.30000000000001"/>
    <n v="292.5"/>
    <n v="301.20000000000005"/>
    <n v="156.19999999999999"/>
    <n v="151.69999999999999"/>
    <n v="3400.2"/>
  </r>
  <r>
    <x v="0"/>
    <x v="7"/>
    <s v="March"/>
    <n v="2065.0999999999995"/>
    <n v="296.29999999999995"/>
    <n v="135.80000000000001"/>
    <n v="301"/>
    <n v="151.5"/>
    <n v="161.19999999999999"/>
    <n v="156.69999999999999"/>
    <n v="3267.5999999999995"/>
  </r>
  <r>
    <x v="1"/>
    <x v="7"/>
    <s v="March"/>
    <n v="2071.8000000000002"/>
    <n v="283.20000000000005"/>
    <n v="124.6"/>
    <n v="281.5"/>
    <n v="295.3"/>
    <n v="152.5"/>
    <n v="145"/>
    <n v="3353.9"/>
  </r>
  <r>
    <x v="2"/>
    <x v="7"/>
    <s v="March"/>
    <n v="2066.6"/>
    <n v="288.89999999999998"/>
    <n v="129.9"/>
    <n v="293.10000000000002"/>
    <n v="300.89999999999998"/>
    <n v="156.1"/>
    <n v="152.30000000000001"/>
    <n v="3387.8"/>
  </r>
  <r>
    <x v="0"/>
    <x v="7"/>
    <s v="April"/>
    <n v="1614.8000000000002"/>
    <n v="0"/>
    <n v="0"/>
    <n v="0"/>
    <n v="0"/>
    <n v="0"/>
    <n v="154.30000000000001"/>
    <n v="1769.1000000000001"/>
  </r>
  <r>
    <x v="1"/>
    <x v="7"/>
    <s v="April"/>
    <n v="1636.7"/>
    <n v="0"/>
    <n v="0"/>
    <n v="0"/>
    <n v="155.6"/>
    <n v="0"/>
    <n v="144.80000000000001"/>
    <n v="1937.1"/>
  </r>
  <r>
    <x v="2"/>
    <x v="7"/>
    <s v="April"/>
    <n v="1622.7"/>
    <n v="0"/>
    <n v="0"/>
    <n v="0"/>
    <n v="155.6"/>
    <n v="0"/>
    <n v="150.69999999999999"/>
    <n v="1929"/>
  </r>
  <r>
    <x v="0"/>
    <x v="7"/>
    <s v="May"/>
    <n v="0"/>
    <n v="0"/>
    <n v="0"/>
    <n v="0"/>
    <n v="0"/>
    <n v="0"/>
    <n v="0"/>
    <n v="0"/>
  </r>
  <r>
    <x v="1"/>
    <x v="7"/>
    <s v="May"/>
    <n v="0"/>
    <n v="0"/>
    <n v="0"/>
    <n v="0"/>
    <n v="0"/>
    <n v="0"/>
    <n v="0"/>
    <n v="0"/>
  </r>
  <r>
    <x v="2"/>
    <x v="7"/>
    <s v="May"/>
    <n v="0"/>
    <n v="0"/>
    <n v="0"/>
    <n v="0"/>
    <n v="0"/>
    <n v="0"/>
    <n v="0"/>
    <n v="0"/>
  </r>
  <r>
    <x v="0"/>
    <x v="7"/>
    <s v="June"/>
    <n v="2133.4"/>
    <n v="304.39999999999998"/>
    <n v="141.4"/>
    <n v="304.7"/>
    <n v="151.69999999999999"/>
    <n v="161.80000000000001"/>
    <n v="158.19999999999999"/>
    <n v="3355.6"/>
  </r>
  <r>
    <x v="1"/>
    <x v="7"/>
    <s v="June"/>
    <n v="2181.6999999999998"/>
    <n v="296.7"/>
    <n v="129.30000000000001"/>
    <n v="285.7"/>
    <n v="295.10000000000002"/>
    <n v="152.5"/>
    <n v="148.1"/>
    <n v="3489.0999999999995"/>
  </r>
  <r>
    <x v="2"/>
    <x v="7"/>
    <s v="June"/>
    <n v="2150.3000000000002"/>
    <n v="299.89999999999998"/>
    <n v="135"/>
    <n v="296.89999999999998"/>
    <n v="301.10000000000002"/>
    <n v="156.4"/>
    <n v="154.4"/>
    <n v="3494.0000000000005"/>
  </r>
  <r>
    <x v="0"/>
    <x v="7"/>
    <s v="July"/>
    <n v="2133.4"/>
    <n v="304.39999999999998"/>
    <n v="141.4"/>
    <n v="304.7"/>
    <n v="151.69999999999999"/>
    <n v="161.80000000000001"/>
    <n v="158.19999999999999"/>
    <n v="3355.6"/>
  </r>
  <r>
    <x v="1"/>
    <x v="7"/>
    <s v="July"/>
    <n v="2181.6999999999998"/>
    <n v="296.7"/>
    <n v="129.30000000000001"/>
    <n v="285.7"/>
    <n v="295.10000000000002"/>
    <n v="152.5"/>
    <n v="148.1"/>
    <n v="3489.0999999999995"/>
  </r>
  <r>
    <x v="2"/>
    <x v="7"/>
    <s v="July"/>
    <n v="2150.3000000000002"/>
    <n v="299.89999999999998"/>
    <n v="135"/>
    <n v="296.89999999999998"/>
    <n v="301.10000000000002"/>
    <n v="156.4"/>
    <n v="154.4"/>
    <n v="3494.0000000000005"/>
  </r>
  <r>
    <x v="0"/>
    <x v="7"/>
    <s v="August"/>
    <n v="2159.5"/>
    <n v="305.79999999999995"/>
    <n v="143.6"/>
    <n v="304.39999999999998"/>
    <n v="151.9"/>
    <n v="162.69999999999999"/>
    <n v="158.80000000000001"/>
    <n v="3386.7000000000003"/>
  </r>
  <r>
    <x v="1"/>
    <x v="7"/>
    <s v="August"/>
    <n v="2212.1"/>
    <n v="296.39999999999998"/>
    <n v="133.9"/>
    <n v="285.2"/>
    <n v="300"/>
    <n v="155.5"/>
    <n v="148.69999999999999"/>
    <n v="3531.7999999999997"/>
  </r>
  <r>
    <x v="2"/>
    <x v="7"/>
    <s v="August"/>
    <n v="2177.7999999999997"/>
    <n v="300.3"/>
    <n v="138.5"/>
    <n v="296.5"/>
    <n v="303.89999999999998"/>
    <n v="158.5"/>
    <n v="155"/>
    <n v="3530.5"/>
  </r>
  <r>
    <x v="0"/>
    <x v="7"/>
    <s v="September"/>
    <n v="2170.2999999999997"/>
    <n v="310.20000000000005"/>
    <n v="144.6"/>
    <n v="305.3"/>
    <n v="151.6"/>
    <n v="161.1"/>
    <n v="159.1"/>
    <n v="3402.2"/>
  </r>
  <r>
    <x v="1"/>
    <x v="7"/>
    <s v="September"/>
    <n v="2230.3000000000002"/>
    <n v="301.60000000000002"/>
    <n v="135.1"/>
    <n v="286.5"/>
    <n v="301.70000000000005"/>
    <n v="154.9"/>
    <n v="150"/>
    <n v="3560.1"/>
  </r>
  <r>
    <x v="2"/>
    <x v="7"/>
    <s v="September"/>
    <n v="2191.4"/>
    <n v="305"/>
    <n v="139.6"/>
    <n v="297.70000000000005"/>
    <n v="305"/>
    <n v="157.5"/>
    <n v="155.6"/>
    <n v="3551.7999999999997"/>
  </r>
  <r>
    <x v="0"/>
    <x v="7"/>
    <s v="October"/>
    <n v="2213.6"/>
    <n v="308.60000000000002"/>
    <n v="146.4"/>
    <n v="306.29999999999995"/>
    <n v="152"/>
    <n v="162.5"/>
    <n v="159.5"/>
    <n v="3448.8999999999996"/>
  </r>
  <r>
    <x v="1"/>
    <x v="7"/>
    <s v="October"/>
    <n v="2268.8999999999996"/>
    <n v="300.10000000000002"/>
    <n v="135.4"/>
    <n v="286.60000000000002"/>
    <n v="301.60000000000002"/>
    <n v="155.69999999999999"/>
    <n v="151"/>
    <n v="3599.2999999999993"/>
  </r>
  <r>
    <x v="2"/>
    <x v="7"/>
    <s v="October"/>
    <n v="2232.9000000000005"/>
    <n v="303.5"/>
    <n v="140.6"/>
    <n v="298.29999999999995"/>
    <n v="305.2"/>
    <n v="158.5"/>
    <n v="156.30000000000001"/>
    <n v="3595.3"/>
  </r>
  <r>
    <x v="0"/>
    <x v="7"/>
    <s v="November"/>
    <n v="2265.8000000000002"/>
    <n v="309.79999999999995"/>
    <n v="146.1"/>
    <n v="307.3"/>
    <n v="152.80000000000001"/>
    <n v="161.6"/>
    <n v="160.4"/>
    <n v="3503.8000000000006"/>
  </r>
  <r>
    <x v="1"/>
    <x v="7"/>
    <s v="November"/>
    <n v="2309.5"/>
    <n v="302.3"/>
    <n v="135.19999999999999"/>
    <n v="287.5"/>
    <n v="303.10000000000002"/>
    <n v="156.4"/>
    <n v="152"/>
    <n v="3646"/>
  </r>
  <r>
    <x v="2"/>
    <x v="7"/>
    <s v="November"/>
    <n v="2280.4"/>
    <n v="305.3"/>
    <n v="140.4"/>
    <n v="299.20000000000005"/>
    <n v="307.2"/>
    <n v="158.6"/>
    <n v="157.19999999999999"/>
    <n v="3648.2999999999997"/>
  </r>
  <r>
    <x v="0"/>
    <x v="7"/>
    <s v="December"/>
    <n v="2284.1"/>
    <n v="310.5"/>
    <n v="146.4"/>
    <n v="308.60000000000002"/>
    <n v="153.4"/>
    <n v="162.9"/>
    <n v="161.6"/>
    <n v="3527.5"/>
  </r>
  <r>
    <x v="1"/>
    <x v="7"/>
    <s v="December"/>
    <n v="2315.6"/>
    <n v="302.20000000000005"/>
    <n v="135.5"/>
    <n v="288.60000000000002"/>
    <n v="303.89999999999998"/>
    <n v="156.9"/>
    <n v="152.9"/>
    <n v="3655.6000000000004"/>
  </r>
  <r>
    <x v="2"/>
    <x v="7"/>
    <s v="December"/>
    <n v="2294.5"/>
    <n v="305.60000000000002"/>
    <n v="140.69999999999999"/>
    <n v="300.39999999999998"/>
    <n v="308.10000000000002"/>
    <n v="159.4"/>
    <n v="158.30000000000001"/>
    <n v="3667"/>
  </r>
  <r>
    <x v="0"/>
    <x v="8"/>
    <s v="January"/>
    <n v="2250.2999999999997"/>
    <n v="311.29999999999995"/>
    <n v="147.5"/>
    <n v="309.89999999999998"/>
    <n v="153.9"/>
    <n v="163.5"/>
    <n v="162.5"/>
    <n v="3498.8999999999996"/>
  </r>
  <r>
    <x v="1"/>
    <x v="8"/>
    <s v="January"/>
    <n v="2288.8000000000002"/>
    <n v="303.10000000000002"/>
    <n v="136.9"/>
    <n v="289.8"/>
    <n v="303.39999999999998"/>
    <n v="156.1"/>
    <n v="154.1"/>
    <n v="3632.2000000000003"/>
  </r>
  <r>
    <x v="2"/>
    <x v="8"/>
    <s v="January"/>
    <n v="2263"/>
    <n v="306.39999999999998"/>
    <n v="141.9"/>
    <n v="301.60000000000002"/>
    <n v="307.7"/>
    <n v="159.19999999999999"/>
    <n v="159.30000000000001"/>
    <n v="3639.1"/>
  </r>
  <r>
    <x v="0"/>
    <x v="8"/>
    <s v="February"/>
    <n v="2211.8000000000002"/>
    <n v="312.2"/>
    <n v="150.19999999999999"/>
    <n v="313"/>
    <n v="154.80000000000001"/>
    <n v="163.6"/>
    <n v="164.3"/>
    <n v="3469.9"/>
  </r>
  <r>
    <x v="1"/>
    <x v="8"/>
    <s v="February"/>
    <n v="2259.3000000000002"/>
    <n v="304"/>
    <n v="140.5"/>
    <n v="292.39999999999998"/>
    <n v="306.3"/>
    <n v="156.6"/>
    <n v="156.30000000000001"/>
    <n v="3615.4000000000005"/>
  </r>
  <r>
    <x v="2"/>
    <x v="8"/>
    <s v="February"/>
    <n v="2227.6000000000004"/>
    <n v="307.3"/>
    <n v="145.1"/>
    <n v="304.60000000000002"/>
    <n v="310.70000000000005"/>
    <n v="159.5"/>
    <n v="161.30000000000001"/>
    <n v="3616.1000000000004"/>
  </r>
  <r>
    <x v="0"/>
    <x v="8"/>
    <s v="March"/>
    <n v="2211.8000000000002"/>
    <n v="310.89999999999998"/>
    <n v="151.30000000000001"/>
    <n v="314"/>
    <n v="154.80000000000001"/>
    <n v="163.80000000000001"/>
    <n v="164.6"/>
    <n v="3471.2000000000007"/>
  </r>
  <r>
    <x v="1"/>
    <x v="8"/>
    <s v="March"/>
    <n v="2257.9999999999995"/>
    <n v="303.5"/>
    <n v="141.69999999999999"/>
    <n v="293.79999999999995"/>
    <n v="307.10000000000002"/>
    <n v="157.6"/>
    <n v="156.9"/>
    <n v="3618.599999999999"/>
  </r>
  <r>
    <x v="2"/>
    <x v="8"/>
    <s v="March"/>
    <n v="2227.5"/>
    <n v="306.39999999999998"/>
    <n v="146.19999999999999"/>
    <n v="305.70000000000005"/>
    <n v="311.10000000000002"/>
    <n v="160.19999999999999"/>
    <n v="161.69999999999999"/>
    <n v="3618.7999999999997"/>
  </r>
  <r>
    <x v="0"/>
    <x v="8"/>
    <s v="April"/>
    <n v="2236.3000000000002"/>
    <n v="313.2"/>
    <n v="151.69999999999999"/>
    <n v="315.79999999999995"/>
    <n v="155.5"/>
    <n v="164.1"/>
    <n v="165.3"/>
    <n v="3501.9"/>
  </r>
  <r>
    <x v="1"/>
    <x v="8"/>
    <s v="April"/>
    <n v="2284"/>
    <n v="305.7"/>
    <n v="142.1"/>
    <n v="295.20000000000005"/>
    <n v="309"/>
    <n v="157.6"/>
    <n v="157.5"/>
    <n v="3651.1"/>
  </r>
  <r>
    <x v="2"/>
    <x v="8"/>
    <s v="April"/>
    <n v="2252.9"/>
    <n v="308.60000000000002"/>
    <n v="146.6"/>
    <n v="307.3"/>
    <n v="313.20000000000005"/>
    <n v="160.30000000000001"/>
    <n v="162.30000000000001"/>
    <n v="3651.2000000000007"/>
  </r>
  <r>
    <x v="0"/>
    <x v="8"/>
    <s v="May"/>
    <n v="2284.8999999999996"/>
    <n v="319.3"/>
    <n v="153.19999999999999"/>
    <n v="325.89999999999998"/>
    <n v="158.80000000000001"/>
    <n v="167.6"/>
    <n v="169.1"/>
    <n v="3578.7999999999997"/>
  </r>
  <r>
    <x v="1"/>
    <x v="8"/>
    <s v="May"/>
    <n v="2322.9"/>
    <n v="310.10000000000002"/>
    <n v="145"/>
    <n v="296.7"/>
    <n v="311.7"/>
    <n v="156.6"/>
    <n v="160.4"/>
    <n v="3703.3999999999996"/>
  </r>
  <r>
    <x v="2"/>
    <x v="8"/>
    <s v="May"/>
    <n v="2297.6000000000004"/>
    <n v="314.39999999999998"/>
    <n v="148.9"/>
    <n v="313.89999999999998"/>
    <n v="316.29999999999995"/>
    <n v="161.19999999999999"/>
    <n v="165.8"/>
    <n v="3718.1000000000004"/>
  </r>
  <r>
    <x v="0"/>
    <x v="8"/>
    <s v="June"/>
    <n v="2311.6999999999998"/>
    <n v="319.8"/>
    <n v="154.19999999999999"/>
    <n v="325.20000000000005"/>
    <n v="159.19999999999999"/>
    <n v="166.8"/>
    <n v="169.7"/>
    <n v="3606.5999999999995"/>
  </r>
  <r>
    <x v="1"/>
    <x v="8"/>
    <s v="June"/>
    <n v="2349.7999999999997"/>
    <n v="308.7"/>
    <n v="147.5"/>
    <n v="297.8"/>
    <n v="310.3"/>
    <n v="158.1"/>
    <n v="160.80000000000001"/>
    <n v="3733"/>
  </r>
  <r>
    <x v="2"/>
    <x v="8"/>
    <s v="June"/>
    <n v="2324.7000000000003"/>
    <n v="313.70000000000005"/>
    <n v="150.69999999999999"/>
    <n v="314"/>
    <n v="315.3"/>
    <n v="161.69999999999999"/>
    <n v="166.3"/>
    <n v="3746.4000000000005"/>
  </r>
  <r>
    <x v="0"/>
    <x v="8"/>
    <s v="July"/>
    <n v="2322.1"/>
    <n v="321.10000000000002"/>
    <n v="157.1"/>
    <n v="327.10000000000002"/>
    <n v="160.30000000000001"/>
    <n v="167.2"/>
    <n v="170.4"/>
    <n v="3625.2999999999997"/>
  </r>
  <r>
    <x v="1"/>
    <x v="8"/>
    <s v="July"/>
    <n v="2367.3000000000002"/>
    <n v="310.79999999999995"/>
    <n v="149.5"/>
    <n v="299.8"/>
    <n v="312.2"/>
    <n v="160.30000000000001"/>
    <n v="161.5"/>
    <n v="3761.4000000000005"/>
  </r>
  <r>
    <x v="2"/>
    <x v="8"/>
    <s v="July"/>
    <n v="2338.1999999999998"/>
    <n v="315.39999999999998"/>
    <n v="153.1"/>
    <n v="315.89999999999998"/>
    <n v="317.3"/>
    <n v="163.19999999999999"/>
    <n v="167"/>
    <n v="3770.1"/>
  </r>
  <r>
    <x v="0"/>
    <x v="8"/>
    <s v="August"/>
    <n v="2321"/>
    <n v="321.39999999999998"/>
    <n v="157.69999999999999"/>
    <n v="329.6"/>
    <n v="160.9"/>
    <n v="167.5"/>
    <n v="171.1"/>
    <n v="3629.2"/>
  </r>
  <r>
    <x v="1"/>
    <x v="8"/>
    <s v="August"/>
    <n v="2354.4"/>
    <n v="313.29999999999995"/>
    <n v="150.4"/>
    <n v="303.39999999999998"/>
    <n v="315.29999999999995"/>
    <n v="160.4"/>
    <n v="162.80000000000001"/>
    <n v="3760.0000000000005"/>
  </r>
  <r>
    <x v="2"/>
    <x v="8"/>
    <s v="August"/>
    <n v="2334.1"/>
    <n v="317.60000000000002"/>
    <n v="154"/>
    <n v="319.8"/>
    <n v="319.60000000000002"/>
    <n v="163.80000000000001"/>
    <n v="168.4"/>
    <n v="3777.3"/>
  </r>
  <r>
    <x v="0"/>
    <x v="8"/>
    <s v="September"/>
    <n v="2324.1"/>
    <n v="322.89999999999998"/>
    <n v="157.80000000000001"/>
    <n v="331.29999999999995"/>
    <n v="161.30000000000001"/>
    <n v="168.5"/>
    <n v="171.9"/>
    <n v="3637.8000000000006"/>
  </r>
  <r>
    <x v="1"/>
    <x v="8"/>
    <s v="September"/>
    <n v="2354.4"/>
    <n v="313.5"/>
    <n v="150.5"/>
    <n v="303.39999999999998"/>
    <n v="315.39999999999998"/>
    <n v="160.30000000000001"/>
    <n v="162.80000000000001"/>
    <n v="3760.3000000000006"/>
  </r>
  <r>
    <x v="2"/>
    <x v="8"/>
    <s v="September"/>
    <n v="2334.1"/>
    <n v="317.7"/>
    <n v="154"/>
    <n v="319.89999999999998"/>
    <n v="319.60000000000002"/>
    <n v="163.69999999999999"/>
    <n v="168.4"/>
    <n v="3777.3999999999996"/>
  </r>
  <r>
    <x v="0"/>
    <x v="8"/>
    <s v="October"/>
    <n v="2355.3999999999996"/>
    <n v="324.29999999999995"/>
    <n v="159.5"/>
    <n v="333.70000000000005"/>
    <n v="162"/>
    <n v="169"/>
    <n v="172.5"/>
    <n v="3676.3999999999996"/>
  </r>
  <r>
    <x v="1"/>
    <x v="8"/>
    <s v="October"/>
    <n v="2395.4000000000005"/>
    <n v="315.39999999999998"/>
    <n v="152.19999999999999"/>
    <n v="305.20000000000005"/>
    <n v="317.89999999999998"/>
    <n v="160.30000000000001"/>
    <n v="163.5"/>
    <n v="3809.900000000001"/>
  </r>
  <r>
    <x v="2"/>
    <x v="8"/>
    <s v="October"/>
    <n v="2368.1999999999998"/>
    <n v="319.39999999999998"/>
    <n v="155.69999999999999"/>
    <n v="322"/>
    <n v="322"/>
    <n v="163.9"/>
    <n v="169.1"/>
    <n v="3820.2999999999997"/>
  </r>
  <r>
    <x v="0"/>
    <x v="8"/>
    <s v="November"/>
    <n v="2373.4"/>
    <n v="326.20000000000005"/>
    <n v="158.9"/>
    <n v="336.4"/>
    <n v="162.9"/>
    <n v="169.3"/>
    <n v="173.4"/>
    <n v="3700.5000000000009"/>
  </r>
  <r>
    <x v="1"/>
    <x v="8"/>
    <s v="November"/>
    <n v="2414.8999999999996"/>
    <n v="318.5"/>
    <n v="151.19999999999999"/>
    <n v="307.60000000000002"/>
    <n v="319.39999999999998"/>
    <n v="160.80000000000001"/>
    <n v="164.2"/>
    <n v="3836.5999999999995"/>
  </r>
  <r>
    <x v="2"/>
    <x v="8"/>
    <s v="November"/>
    <n v="2387"/>
    <n v="322"/>
    <n v="154.80000000000001"/>
    <n v="324.60000000000002"/>
    <n v="323.5"/>
    <n v="164.3"/>
    <n v="169.9"/>
    <n v="3846.1000000000004"/>
  </r>
  <r>
    <x v="0"/>
    <x v="8"/>
    <s v="December"/>
    <n v="2359"/>
    <n v="327.3"/>
    <n v="160.1"/>
    <n v="339.1"/>
    <n v="163.9"/>
    <n v="169.7"/>
    <n v="174"/>
    <n v="3693.1"/>
  </r>
  <r>
    <x v="1"/>
    <x v="8"/>
    <s v="December"/>
    <n v="2403.1000000000004"/>
    <n v="320"/>
    <n v="151.80000000000001"/>
    <n v="310"/>
    <n v="319.39999999999998"/>
    <n v="160.6"/>
    <n v="165.1"/>
    <n v="3830.0000000000005"/>
  </r>
  <r>
    <x v="2"/>
    <x v="8"/>
    <s v="December"/>
    <n v="2373.3000000000002"/>
    <n v="323.2"/>
    <n v="155.69999999999999"/>
    <n v="327.2"/>
    <n v="323.60000000000002"/>
    <n v="164.4"/>
    <n v="170.6"/>
    <n v="3837.9999999999995"/>
  </r>
  <r>
    <x v="0"/>
    <x v="9"/>
    <s v="January"/>
    <n v="2343.6999999999998"/>
    <n v="328.1"/>
    <n v="160.80000000000001"/>
    <n v="342.5"/>
    <n v="164.9"/>
    <n v="169.9"/>
    <n v="174.7"/>
    <n v="3684.6"/>
  </r>
  <r>
    <x v="1"/>
    <x v="9"/>
    <s v="January"/>
    <n v="2383.1"/>
    <n v="321.20000000000005"/>
    <n v="152.69999999999999"/>
    <n v="313.2"/>
    <n v="321.3"/>
    <n v="161"/>
    <n v="166.1"/>
    <n v="3818.6"/>
  </r>
  <r>
    <x v="2"/>
    <x v="9"/>
    <s v="January"/>
    <n v="2356.3999999999996"/>
    <n v="324.2"/>
    <n v="156.5"/>
    <n v="330.6"/>
    <n v="325.60000000000002"/>
    <n v="164.7"/>
    <n v="171.4"/>
    <n v="3829.3999999999992"/>
  </r>
  <r>
    <x v="0"/>
    <x v="9"/>
    <s v="February"/>
    <n v="2341.9"/>
    <n v="330"/>
    <n v="161.19999999999999"/>
    <n v="345.1"/>
    <n v="165.7"/>
    <n v="170.3"/>
    <n v="175.3"/>
    <n v="3689.5"/>
  </r>
  <r>
    <x v="1"/>
    <x v="9"/>
    <s v="February"/>
    <n v="2380"/>
    <n v="323.7"/>
    <n v="153.1"/>
    <n v="316.10000000000002"/>
    <n v="322.89999999999998"/>
    <n v="162"/>
    <n v="167.2"/>
    <n v="3824.9999999999995"/>
  </r>
  <r>
    <x v="2"/>
    <x v="9"/>
    <s v="February"/>
    <n v="2354.0000000000005"/>
    <n v="326.5"/>
    <n v="156.9"/>
    <n v="333.20000000000005"/>
    <n v="327.3"/>
    <n v="165.4"/>
    <n v="172.2"/>
    <n v="3835.5000000000005"/>
  </r>
  <r>
    <x v="0"/>
    <x v="9"/>
    <s v="March"/>
    <n v="2371.4000000000005"/>
    <n v="334"/>
    <n v="162"/>
    <n v="348.6"/>
    <n v="166.5"/>
    <n v="170.6"/>
    <n v="176"/>
    <n v="3729.1000000000004"/>
  </r>
  <r>
    <x v="1"/>
    <x v="9"/>
    <s v="March"/>
    <n v="2393.8000000000002"/>
    <n v="327.60000000000002"/>
    <n v="154.19999999999999"/>
    <n v="319.7"/>
    <n v="323.89999999999998"/>
    <n v="162.69999999999999"/>
    <n v="168.2"/>
    <n v="3850.0999999999995"/>
  </r>
  <r>
    <x v="2"/>
    <x v="9"/>
    <s v="March"/>
    <n v="2377.9"/>
    <n v="330.5"/>
    <n v="157.9"/>
    <n v="336.7"/>
    <n v="328.1"/>
    <n v="166"/>
    <n v="173"/>
    <n v="3870.1"/>
  </r>
  <r>
    <x v="0"/>
    <x v="9"/>
    <s v="April"/>
    <n v="2399.4"/>
    <n v="336.2"/>
    <n v="166.2"/>
    <n v="352.6"/>
    <n v="167.7"/>
    <n v="170.9"/>
    <n v="177"/>
    <n v="3769.9999999999995"/>
  </r>
  <r>
    <x v="1"/>
    <x v="9"/>
    <s v="April"/>
    <n v="2427.5"/>
    <n v="330.6"/>
    <n v="159.30000000000001"/>
    <n v="322.89999999999998"/>
    <n v="326.8"/>
    <n v="164"/>
    <n v="169"/>
    <n v="3900.1000000000004"/>
  </r>
  <r>
    <x v="2"/>
    <x v="9"/>
    <s v="April"/>
    <n v="2408.2000000000003"/>
    <n v="333.20000000000005"/>
    <n v="162.6"/>
    <n v="340.4"/>
    <n v="331"/>
    <n v="166.9"/>
    <n v="174"/>
    <n v="3916.3000000000006"/>
  </r>
  <r>
    <x v="0"/>
    <x v="9"/>
    <s v="May"/>
    <n v="2419.7000000000003"/>
    <n v="336.1"/>
    <n v="167.1"/>
    <n v="356.5"/>
    <n v="168.9"/>
    <n v="171.8"/>
    <n v="177.7"/>
    <n v="3797.8"/>
  </r>
  <r>
    <x v="1"/>
    <x v="9"/>
    <s v="May"/>
    <n v="2459.7000000000003"/>
    <n v="331.4"/>
    <n v="159.4"/>
    <n v="325.89999999999998"/>
    <n v="328.6"/>
    <n v="165.2"/>
    <n v="170.1"/>
    <n v="3940.3"/>
  </r>
  <r>
    <x v="2"/>
    <x v="9"/>
    <s v="May"/>
    <n v="2433.0000000000005"/>
    <n v="333.5"/>
    <n v="163"/>
    <n v="344"/>
    <n v="332.7"/>
    <n v="167.9"/>
    <n v="174.8"/>
    <n v="3948.9000000000005"/>
  </r>
  <r>
    <x v="0"/>
    <x v="9"/>
    <s v="June"/>
    <n v="2441.2000000000003"/>
    <n v="337.5"/>
    <n v="165.5"/>
    <n v="359.4"/>
    <n v="170.3"/>
    <n v="172.6"/>
    <n v="178.2"/>
    <n v="3824.7000000000003"/>
  </r>
  <r>
    <x v="1"/>
    <x v="9"/>
    <s v="June"/>
    <n v="2485.8000000000002"/>
    <n v="333.29999999999995"/>
    <n v="157.19999999999999"/>
    <n v="329"/>
    <n v="328.9"/>
    <n v="166.5"/>
    <n v="170.9"/>
    <n v="3971.6000000000004"/>
  </r>
  <r>
    <x v="2"/>
    <x v="9"/>
    <s v="June"/>
    <n v="2456.2000000000003"/>
    <n v="335.20000000000005"/>
    <n v="161.1"/>
    <n v="347"/>
    <n v="333.20000000000005"/>
    <n v="169"/>
    <n v="175.4"/>
    <n v="3977.1000000000008"/>
  </r>
  <r>
    <x v="0"/>
    <x v="9"/>
    <s v="July"/>
    <n v="2445.6999999999998"/>
    <n v="338.29999999999995"/>
    <n v="166.3"/>
    <n v="362.3"/>
    <n v="171.3"/>
    <n v="174.7"/>
    <n v="178.8"/>
    <n v="3837.4000000000005"/>
  </r>
  <r>
    <x v="1"/>
    <x v="9"/>
    <s v="July"/>
    <n v="2490.1999999999998"/>
    <n v="334.4"/>
    <n v="157.4"/>
    <n v="331.4"/>
    <n v="330.9"/>
    <n v="169.1"/>
    <n v="171.7"/>
    <n v="3985.1"/>
  </r>
  <r>
    <x v="2"/>
    <x v="9"/>
    <s v="July"/>
    <n v="2460.9"/>
    <n v="336"/>
    <n v="161.6"/>
    <n v="349.6"/>
    <n v="335.20000000000005"/>
    <n v="171.4"/>
    <n v="176.1"/>
    <n v="3990.8"/>
  </r>
  <r>
    <x v="0"/>
    <x v="9"/>
    <s v="August"/>
    <n v="2449.4999999999995"/>
    <n v="340.4"/>
    <n v="166.6"/>
    <n v="364.9"/>
    <n v="172.3"/>
    <n v="175.7"/>
    <n v="179.4"/>
    <n v="3848.7999999999997"/>
  </r>
  <r>
    <x v="1"/>
    <x v="9"/>
    <s v="August"/>
    <n v="2492.3999999999996"/>
    <n v="336.5"/>
    <n v="157.69999999999999"/>
    <n v="333.7"/>
    <n v="333.2"/>
    <n v="169.9"/>
    <n v="172.6"/>
    <n v="3995.9999999999991"/>
  </r>
  <r>
    <x v="2"/>
    <x v="9"/>
    <s v="August"/>
    <n v="2464.2000000000003"/>
    <n v="338.1"/>
    <n v="161.9"/>
    <n v="352.2"/>
    <n v="337.5"/>
    <n v="172.3"/>
    <n v="176.8"/>
    <n v="4003.0000000000005"/>
  </r>
  <r>
    <x v="0"/>
    <x v="9"/>
    <s v="September"/>
    <n v="2462.3000000000002"/>
    <n v="340.8"/>
    <n v="166.9"/>
    <n v="368"/>
    <n v="173.6"/>
    <n v="176.2"/>
    <n v="180.2"/>
    <n v="3868"/>
  </r>
  <r>
    <x v="1"/>
    <x v="9"/>
    <s v="September"/>
    <n v="2506.1"/>
    <n v="336.9"/>
    <n v="158.19999999999999"/>
    <n v="336.7"/>
    <n v="334.5"/>
    <n v="170.9"/>
    <n v="173.8"/>
    <n v="4017.1"/>
  </r>
  <r>
    <x v="2"/>
    <x v="9"/>
    <s v="September"/>
    <n v="2476.8000000000002"/>
    <n v="338.5"/>
    <n v="162.30000000000001"/>
    <n v="355.20000000000005"/>
    <n v="339"/>
    <n v="173.1"/>
    <n v="177.8"/>
    <n v="4022.7000000000003"/>
  </r>
  <r>
    <x v="0"/>
    <x v="9"/>
    <s v="October"/>
    <n v="2479.4"/>
    <n v="342.6"/>
    <n v="167.4"/>
    <n v="370.5"/>
    <n v="174.4"/>
    <n v="176.5"/>
    <n v="181.2"/>
    <n v="3892"/>
  </r>
  <r>
    <x v="1"/>
    <x v="9"/>
    <s v="October"/>
    <n v="2522.4"/>
    <n v="338.6"/>
    <n v="158.80000000000001"/>
    <n v="338.1"/>
    <n v="337.2"/>
    <n v="171.2"/>
    <n v="174.7"/>
    <n v="4040.9999999999995"/>
  </r>
  <r>
    <x v="2"/>
    <x v="9"/>
    <s v="October"/>
    <n v="2493.6000000000004"/>
    <n v="340.29999999999995"/>
    <n v="162.9"/>
    <n v="357.20000000000005"/>
    <n v="341.6"/>
    <n v="173.4"/>
    <n v="178.7"/>
    <n v="4047.7000000000007"/>
  </r>
  <r>
    <x v="0"/>
    <x v="9"/>
    <s v="November"/>
    <n v="2483.1999999999998"/>
    <n v="344.20000000000005"/>
    <n v="167.5"/>
    <n v="372.4"/>
    <n v="175.5"/>
    <n v="176.9"/>
    <n v="182.3"/>
    <n v="3902"/>
  </r>
  <r>
    <x v="1"/>
    <x v="9"/>
    <s v="November"/>
    <n v="2515"/>
    <n v="340.5"/>
    <n v="158.9"/>
    <n v="340.2"/>
    <n v="338.70000000000005"/>
    <n v="171.5"/>
    <n v="175.8"/>
    <n v="4040.6000000000004"/>
  </r>
  <r>
    <x v="2"/>
    <x v="9"/>
    <s v="November"/>
    <n v="2493.7000000000003"/>
    <n v="342.1"/>
    <n v="163"/>
    <n v="359.29999999999995"/>
    <n v="343.20000000000005"/>
    <n v="173.7"/>
    <n v="179.8"/>
    <n v="4054.8"/>
  </r>
  <r>
    <x v="0"/>
    <x v="9"/>
    <s v="December"/>
    <n v="2473"/>
    <n v="346.9"/>
    <n v="167.8"/>
    <n v="374"/>
    <n v="176.4"/>
    <n v="177.3"/>
    <n v="183.5"/>
    <n v="3898.9000000000005"/>
  </r>
  <r>
    <x v="1"/>
    <x v="9"/>
    <s v="December"/>
    <n v="2496.8999999999996"/>
    <n v="343.1"/>
    <n v="159.4"/>
    <n v="342.2"/>
    <n v="338"/>
    <n v="171.8"/>
    <n v="177.2"/>
    <n v="4028.5999999999995"/>
  </r>
  <r>
    <x v="2"/>
    <x v="9"/>
    <s v="December"/>
    <n v="2480.7000000000003"/>
    <n v="344.70000000000005"/>
    <n v="163.4"/>
    <n v="361"/>
    <n v="342.79999999999995"/>
    <n v="174.1"/>
    <n v="181.1"/>
    <n v="4047.8"/>
  </r>
  <r>
    <x v="0"/>
    <x v="10"/>
    <s v="January"/>
    <n v="2480.1000000000004"/>
    <n v="350.20000000000005"/>
    <n v="168.2"/>
    <n v="375.3"/>
    <n v="177.2"/>
    <n v="177.8"/>
    <n v="184.7"/>
    <n v="3913.5"/>
  </r>
  <r>
    <x v="1"/>
    <x v="10"/>
    <s v="January"/>
    <n v="2511.8000000000002"/>
    <n v="346.6"/>
    <n v="159.5"/>
    <n v="344"/>
    <n v="340.1"/>
    <n v="171.8"/>
    <n v="178.5"/>
    <n v="4052.3"/>
  </r>
  <r>
    <x v="2"/>
    <x v="10"/>
    <s v="January"/>
    <n v="2490.8999999999996"/>
    <n v="348.1"/>
    <n v="163.6"/>
    <n v="362.5"/>
    <n v="345"/>
    <n v="174.3"/>
    <n v="182.3"/>
    <n v="4066.7"/>
  </r>
  <r>
    <x v="0"/>
    <x v="10"/>
    <s v="February"/>
    <n v="2464"/>
    <n v="353.5"/>
    <n v="169"/>
    <n v="377"/>
    <n v="178.6"/>
    <n v="178.5"/>
    <n v="186.6"/>
    <n v="3907.2"/>
  </r>
  <r>
    <x v="1"/>
    <x v="10"/>
    <s v="February"/>
    <n v="2505.8999999999996"/>
    <n v="349.8"/>
    <n v="159.80000000000001"/>
    <n v="347.3"/>
    <n v="342.7"/>
    <n v="172.5"/>
    <n v="180.8"/>
    <n v="4058.8"/>
  </r>
  <r>
    <x v="2"/>
    <x v="10"/>
    <s v="February"/>
    <n v="2478.6"/>
    <n v="351.3"/>
    <n v="164.2"/>
    <n v="364.9"/>
    <n v="347.7"/>
    <n v="175"/>
    <n v="184.4"/>
    <n v="4066.1"/>
  </r>
  <r>
    <x v="0"/>
    <x v="10"/>
    <s v="March"/>
    <n v="2464.2000000000003"/>
    <n v="353.5"/>
    <n v="169"/>
    <n v="377"/>
    <n v="178.6"/>
    <n v="178.5"/>
    <n v="186.6"/>
    <n v="3907.4"/>
  </r>
  <r>
    <x v="1"/>
    <x v="10"/>
    <s v="March"/>
    <n v="2506.1"/>
    <n v="349.9"/>
    <n v="159.80000000000001"/>
    <n v="347.2"/>
    <n v="342.7"/>
    <n v="172.5"/>
    <n v="180.8"/>
    <n v="4059"/>
  </r>
  <r>
    <x v="2"/>
    <x v="10"/>
    <s v="March"/>
    <n v="2478.6999999999998"/>
    <n v="351.3"/>
    <n v="164.2"/>
    <n v="364.79999999999995"/>
    <n v="347.7"/>
    <n v="175"/>
    <n v="184.4"/>
    <n v="4066.1"/>
  </r>
  <r>
    <x v="0"/>
    <x v="10"/>
    <s v="April"/>
    <n v="2473.6999999999998"/>
    <n v="357"/>
    <n v="169.4"/>
    <n v="378"/>
    <n v="179.1"/>
    <n v="179.4"/>
    <n v="187.2"/>
    <n v="3923.7999999999997"/>
  </r>
  <r>
    <x v="1"/>
    <x v="10"/>
    <s v="April"/>
    <n v="2521.2000000000003"/>
    <n v="353.20000000000005"/>
    <n v="160.1"/>
    <n v="348.7"/>
    <n v="344.79999999999995"/>
    <n v="174.2"/>
    <n v="181.5"/>
    <n v="4083.7"/>
  </r>
  <r>
    <x v="2"/>
    <x v="10"/>
    <s v="April"/>
    <n v="2490.2000000000003"/>
    <n v="354.7"/>
    <n v="164.5"/>
    <n v="366.1"/>
    <n v="349.79999999999995"/>
    <n v="176.4"/>
    <n v="185"/>
    <n v="4086.7000000000003"/>
  </r>
  <r>
    <x v="0"/>
    <x v="10"/>
    <s v="May"/>
    <n v="2490.6000000000008"/>
    <n v="358.70000000000005"/>
    <n v="169.7"/>
    <n v="379.1"/>
    <n v="179.8"/>
    <n v="180.3"/>
    <n v="187.8"/>
    <n v="3946.0000000000014"/>
  </r>
  <r>
    <x v="1"/>
    <x v="10"/>
    <s v="May"/>
    <n v="2539.2999999999997"/>
    <n v="354.79999999999995"/>
    <n v="160.4"/>
    <n v="349.4"/>
    <n v="345.7"/>
    <n v="174.8"/>
    <n v="182.2"/>
    <n v="4106.5999999999995"/>
  </r>
  <r>
    <x v="2"/>
    <x v="10"/>
    <s v="May"/>
    <n v="2507.9"/>
    <n v="356.4"/>
    <n v="164.8"/>
    <n v="367"/>
    <n v="350.79999999999995"/>
    <n v="177.1"/>
    <n v="185.7"/>
    <n v="4109.700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22480-B556-4125-9045-E292D609732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20" firstHeaderRow="1" firstDataRow="1" firstDataCol="1" rowPageCount="1" colPageCount="1"/>
  <pivotFields count="11">
    <pivotField axis="axisPage" multipleItemSelectionAllowed="1" showAll="0">
      <items count="4">
        <item h="1" x="0"/>
        <item x="2"/>
        <item h="1" x="1"/>
        <item t="default"/>
      </items>
    </pivotField>
    <pivotField axis="axisRow" showAll="0">
      <items count="12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0" hier="-1"/>
  </pageFields>
  <dataFields count="1">
    <dataField name="Sum of Entire basket combined" fld="1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465971-D81B-4EA4-9AE0-B47039B49E0C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5EA664B-9051-495B-B351-F0A41EED25CE}" autoFormatId="16" applyNumberFormats="0" applyBorderFormats="0" applyFontFormats="0" applyPatternFormats="0" applyAlignmentFormats="0" applyWidthHeightFormats="0">
  <queryTableRefresh nextId="44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43" dataBound="0" tableColumnId="3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  <queryTableDeletedFields count="1">
      <deletedField name="Housin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DF5E74-B3A9-4F41-882D-EE13A2B16A13}" name="All_India_Index_Upto_April23__1" displayName="All_India_Index_Upto_April23__1" ref="A1:AD373" tableType="queryTable" totalsRowShown="0">
  <autoFilter ref="A1:AD373" xr:uid="{21DF5E74-B3A9-4F41-882D-EE13A2B16A13}"/>
  <tableColumns count="30">
    <tableColumn id="1" xr3:uid="{B513D374-0926-483A-8299-27712DFDDC04}" uniqueName="1" name="Sector" queryTableFieldId="1" dataDxfId="31"/>
    <tableColumn id="2" xr3:uid="{351309D0-BEAE-4029-B6D0-92066DC09463}" uniqueName="2" name="Year" queryTableFieldId="2"/>
    <tableColumn id="3" xr3:uid="{76333F7C-33C5-4A9C-9202-8B307D8FF16B}" uniqueName="3" name="Month" queryTableFieldId="3" dataDxfId="30"/>
    <tableColumn id="4" xr3:uid="{7457100C-2063-4F34-B8AB-EAB56B4FD1B8}" uniqueName="4" name="Cereals and products" queryTableFieldId="4" dataDxfId="29"/>
    <tableColumn id="5" xr3:uid="{26879157-0D9E-419D-B2C5-1D90B55F622F}" uniqueName="5" name="Meat and fish" queryTableFieldId="5" dataDxfId="28"/>
    <tableColumn id="6" xr3:uid="{627DA09A-BC58-4911-AB06-FE258702F1CC}" uniqueName="6" name="Egg" queryTableFieldId="6" dataDxfId="27"/>
    <tableColumn id="7" xr3:uid="{1B041038-C1CC-4899-ABA4-61379E350D90}" uniqueName="7" name="Milk and products" queryTableFieldId="7" dataDxfId="26"/>
    <tableColumn id="8" xr3:uid="{BA735F54-CBF4-4F10-A122-093D268CB106}" uniqueName="8" name="Oils and fats" queryTableFieldId="8" dataDxfId="25"/>
    <tableColumn id="9" xr3:uid="{9BC0A1ED-7076-4E2F-ACC1-A4F6911B3549}" uniqueName="9" name="Fruits" queryTableFieldId="9" dataDxfId="24"/>
    <tableColumn id="10" xr3:uid="{1FEF3CFF-152D-4EA1-A5E1-0D108BF845A4}" uniqueName="10" name="Vegetables" queryTableFieldId="10" dataDxfId="23"/>
    <tableColumn id="11" xr3:uid="{239723EA-FFCB-41C7-A4CA-E7E7B7CAA24C}" uniqueName="11" name="Pulses and products" queryTableFieldId="11" dataDxfId="22"/>
    <tableColumn id="12" xr3:uid="{2C927B45-E38E-4EB6-9DE3-2AF6214A8209}" uniqueName="12" name="Sugar and Confectionery" queryTableFieldId="12" dataDxfId="21"/>
    <tableColumn id="13" xr3:uid="{F02AACFE-1201-4D39-B535-5AA28B61809A}" uniqueName="13" name="Spices" queryTableFieldId="13" dataDxfId="20"/>
    <tableColumn id="14" xr3:uid="{DA54E5F4-0498-4062-9357-47BB3AEA43B1}" uniqueName="14" name="Non-alcoholic beverages" queryTableFieldId="14" dataDxfId="19"/>
    <tableColumn id="15" xr3:uid="{8505FB66-8048-4089-9BF9-8E79E476B0EE}" uniqueName="15" name="Prepared meals, snacks, sweets etc." queryTableFieldId="15" dataDxfId="18"/>
    <tableColumn id="16" xr3:uid="{DF2226A0-0235-4B28-B2F2-F597F6DAD103}" uniqueName="16" name="Food and beverages" queryTableFieldId="16" dataDxfId="17"/>
    <tableColumn id="17" xr3:uid="{4AC3A2AC-4B19-4256-9FCA-388960F3D7BE}" uniqueName="17" name="Pan, tobacco and intoxicants" queryTableFieldId="17" dataDxfId="16"/>
    <tableColumn id="18" xr3:uid="{3CC9D777-CAA6-45EA-B63F-1CAEA1B94E53}" uniqueName="18" name="Clothing" queryTableFieldId="18" dataDxfId="15"/>
    <tableColumn id="19" xr3:uid="{595D0143-32B2-40B8-8161-E95585EAE587}" uniqueName="19" name="Footwear" queryTableFieldId="19" dataDxfId="14"/>
    <tableColumn id="20" xr3:uid="{FDD13F57-9BB2-4EA7-A939-80E08EACE6BA}" uniqueName="20" name="Clothing and footwear" queryTableFieldId="20" dataDxfId="13"/>
    <tableColumn id="21" xr3:uid="{8422E518-F2C2-4A6A-A017-7156F7C1FCEA}" uniqueName="21" name="Housing" queryTableFieldId="21" dataDxfId="12"/>
    <tableColumn id="22" xr3:uid="{4730AF91-9891-47A9-9ECE-C65685E8613E}" uniqueName="22" name="Fuel and light" queryTableFieldId="22" dataDxfId="11"/>
    <tableColumn id="23" xr3:uid="{A3F1B1C5-B68B-4E06-B909-FEFC774FD93A}" uniqueName="23" name="Household goods and services" queryTableFieldId="23" dataDxfId="10"/>
    <tableColumn id="24" xr3:uid="{DE3E4777-E5C6-4C51-B77E-D84B168C0AA3}" uniqueName="24" name="Health" queryTableFieldId="24" dataDxfId="9"/>
    <tableColumn id="25" xr3:uid="{8BB168DA-4175-43A6-99EA-FEBD87F7CDB3}" uniqueName="25" name="Transport and communication" queryTableFieldId="25" dataDxfId="8"/>
    <tableColumn id="26" xr3:uid="{2648C3E1-11BF-49B4-B129-6CF99A1FF1E3}" uniqueName="26" name="Recreation and amusement" queryTableFieldId="26" dataDxfId="7"/>
    <tableColumn id="27" xr3:uid="{2E58B72F-52EF-4182-8E63-11548D22C901}" uniqueName="27" name="Education" queryTableFieldId="27" dataDxfId="6"/>
    <tableColumn id="28" xr3:uid="{98D05EA4-8F53-40E3-BA50-776B3D911D9A}" uniqueName="28" name="Personal care and effects" queryTableFieldId="28" dataDxfId="5"/>
    <tableColumn id="29" xr3:uid="{854AAC33-F4FC-44C4-9CFE-1E623EDD23E0}" uniqueName="29" name="Miscellaneous" queryTableFieldId="29" dataDxfId="4"/>
    <tableColumn id="30" xr3:uid="{92A5290C-8757-4DE5-B14C-35BE51C440B0}" uniqueName="30" name="General index" queryTableFieldId="30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85EDAE-0B71-41BD-ABD6-8B76F3077F19}" name="All_India_Index_Upto_April23__3" displayName="All_India_Index_Upto_April23__3" ref="A1:AD373" tableType="queryTable" totalsRowShown="0">
  <autoFilter ref="A1:AD373" xr:uid="{3C85EDAE-0B71-41BD-ABD6-8B76F3077F19}">
    <filterColumn colId="0">
      <filters>
        <filter val="Rural+Urban"/>
      </filters>
    </filterColumn>
  </autoFilter>
  <tableColumns count="30">
    <tableColumn id="1" xr3:uid="{6ED3A10E-9E81-4A8D-A2A7-61B08EE8AF4D}" uniqueName="1" name="Sector" queryTableFieldId="1" dataDxfId="2"/>
    <tableColumn id="2" xr3:uid="{F2D0A5D7-C070-453B-84B9-BAECECA883AE}" uniqueName="2" name="Year" queryTableFieldId="2"/>
    <tableColumn id="3" xr3:uid="{6E609BA9-16B8-4BBD-9EC2-3C891C15B337}" uniqueName="3" name="Month" queryTableFieldId="3" dataDxfId="1"/>
    <tableColumn id="4" xr3:uid="{E6FA2730-2612-4EB7-9E76-DCA7475EF726}" uniqueName="4" name="Cereals and products" queryTableFieldId="4"/>
    <tableColumn id="5" xr3:uid="{677478D8-9C5A-4657-9C7D-184C4E655DA6}" uniqueName="5" name="Meat and fish" queryTableFieldId="5"/>
    <tableColumn id="6" xr3:uid="{01568188-23E0-4C23-A9A1-EF414A2E4437}" uniqueName="6" name="Egg" queryTableFieldId="6"/>
    <tableColumn id="7" xr3:uid="{9389244E-4190-4930-B009-F484C25E9FCE}" uniqueName="7" name="Milk and products" queryTableFieldId="7"/>
    <tableColumn id="8" xr3:uid="{767EDDE7-4F70-4652-B9A9-E11F4B41580B}" uniqueName="8" name="Oils and fats" queryTableFieldId="8"/>
    <tableColumn id="9" xr3:uid="{2A3F6C1D-2B38-494A-820A-A8FAA28FFDA2}" uniqueName="9" name="Fruits" queryTableFieldId="9"/>
    <tableColumn id="10" xr3:uid="{8987A08B-9CE7-40C0-B939-24F6C452F3CE}" uniqueName="10" name="Vegetables" queryTableFieldId="10"/>
    <tableColumn id="11" xr3:uid="{58DB3DBF-0956-40E3-8A9D-C3F279052F86}" uniqueName="11" name="Pulses and products" queryTableFieldId="11"/>
    <tableColumn id="12" xr3:uid="{85CCA43D-1491-4319-96FD-2FAA1E104E2F}" uniqueName="12" name="Sugar and Confectionery" queryTableFieldId="12"/>
    <tableColumn id="13" xr3:uid="{DF0739CF-8663-446D-A561-53222F855C48}" uniqueName="13" name="Spices" queryTableFieldId="13"/>
    <tableColumn id="14" xr3:uid="{982295FD-BE84-431C-81D7-5DDA9D6B8197}" uniqueName="14" name="Non-alcoholic beverages" queryTableFieldId="14"/>
    <tableColumn id="15" xr3:uid="{1C2D89E6-DDB7-46C0-94D9-768544820DFC}" uniqueName="15" name="Prepared meals, snacks, sweets etc." queryTableFieldId="15"/>
    <tableColumn id="16" xr3:uid="{78941279-984A-4001-BB68-8B339023B79D}" uniqueName="16" name="Food and beverages" queryTableFieldId="16"/>
    <tableColumn id="17" xr3:uid="{D65E0221-A85C-49F5-BB6D-B2EBA925E0CF}" uniqueName="17" name="Pan, tobacco and intoxicants" queryTableFieldId="17"/>
    <tableColumn id="18" xr3:uid="{2559FC05-A2A0-4BE2-88EA-A587BAD35953}" uniqueName="18" name="Clothing" queryTableFieldId="18"/>
    <tableColumn id="19" xr3:uid="{F8BFE9C5-BEEC-4D45-8877-A931BC2F859B}" uniqueName="19" name="Footwear" queryTableFieldId="19"/>
    <tableColumn id="20" xr3:uid="{B1402AEB-E21E-4DF5-B4DE-B3B64F693ECF}" uniqueName="20" name="Clothing and footwear" queryTableFieldId="20"/>
    <tableColumn id="31" xr3:uid="{E8F48312-1CF1-456E-A0AB-716BBFCA6361}" uniqueName="31" name="Housing" queryTableFieldId="43" dataDxfId="0">
      <calculatedColumnFormula>IF(All_India_Index_Upto_April23__3[[#This Row],[Sector]] = "Rural",VLOOKUP(A3,All_India_Index_Upto_April23__3[#All],21,FALSE),#REF!)</calculatedColumnFormula>
    </tableColumn>
    <tableColumn id="22" xr3:uid="{1B2DB769-FB33-4501-918E-AC84B9E8E2D6}" uniqueName="22" name="Fuel and light" queryTableFieldId="22"/>
    <tableColumn id="23" xr3:uid="{47878455-C221-457D-8D44-8BCA4701AF87}" uniqueName="23" name="Household goods and services" queryTableFieldId="23"/>
    <tableColumn id="24" xr3:uid="{61EDCC73-BCAC-4819-8A7D-777A39363ACF}" uniqueName="24" name="Health2" queryTableFieldId="24"/>
    <tableColumn id="25" xr3:uid="{1F45C333-392C-4C55-AF85-B3308819D3E9}" uniqueName="25" name="Transport and communication" queryTableFieldId="25"/>
    <tableColumn id="26" xr3:uid="{97741DA3-8990-4721-A5BE-60F5EE0D886A}" uniqueName="26" name="Recreation and amusement" queryTableFieldId="26"/>
    <tableColumn id="27" xr3:uid="{B2329924-BD66-4E5C-8D60-AF203B8FEAE2}" uniqueName="27" name="Education2" queryTableFieldId="27"/>
    <tableColumn id="28" xr3:uid="{CD3B7516-2A35-4653-B7A8-ED7E018D60E9}" uniqueName="28" name="Personal care and effects" queryTableFieldId="28"/>
    <tableColumn id="29" xr3:uid="{9BBB6890-078B-4815-9C47-89F899F2E9F2}" uniqueName="29" name="Miscellaneous" queryTableFieldId="29"/>
    <tableColumn id="30" xr3:uid="{BB227235-D3F6-4C87-8E42-30A232C9C4E6}" uniqueName="30" name="General index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6DD8-75DC-4945-B974-2113C6E4B230}">
  <dimension ref="A1:AD373"/>
  <sheetViews>
    <sheetView topLeftCell="A229" workbookViewId="0">
      <selection activeCell="E260" sqref="E260"/>
    </sheetView>
  </sheetViews>
  <sheetFormatPr defaultRowHeight="14.5" x14ac:dyDescent="0.35"/>
  <cols>
    <col min="1" max="1" width="11.36328125" bestFit="1" customWidth="1"/>
    <col min="2" max="2" width="6.81640625" bestFit="1" customWidth="1"/>
    <col min="3" max="3" width="10" bestFit="1" customWidth="1"/>
    <col min="4" max="4" width="20.90625" bestFit="1" customWidth="1"/>
    <col min="5" max="5" width="14.6328125" bestFit="1" customWidth="1"/>
    <col min="6" max="6" width="5.90625" bestFit="1" customWidth="1"/>
    <col min="7" max="7" width="18.36328125" bestFit="1" customWidth="1"/>
    <col min="8" max="8" width="13.453125" bestFit="1" customWidth="1"/>
    <col min="9" max="9" width="7.81640625" bestFit="1" customWidth="1"/>
    <col min="10" max="10" width="12.26953125" bestFit="1" customWidth="1"/>
    <col min="11" max="11" width="20.08984375" bestFit="1" customWidth="1"/>
    <col min="12" max="12" width="23.81640625" bestFit="1" customWidth="1"/>
    <col min="13" max="13" width="8.1796875" bestFit="1" customWidth="1"/>
    <col min="14" max="14" width="23.6328125" bestFit="1" customWidth="1"/>
    <col min="15" max="15" width="33.54296875" bestFit="1" customWidth="1"/>
    <col min="16" max="16" width="20" bestFit="1" customWidth="1"/>
    <col min="17" max="17" width="27.54296875" bestFit="1" customWidth="1"/>
    <col min="18" max="18" width="10" bestFit="1" customWidth="1"/>
    <col min="19" max="19" width="11.08984375" bestFit="1" customWidth="1"/>
    <col min="20" max="20" width="22" bestFit="1" customWidth="1"/>
    <col min="21" max="21" width="9.81640625" bestFit="1" customWidth="1"/>
    <col min="22" max="22" width="14.26953125" bestFit="1" customWidth="1"/>
    <col min="23" max="23" width="28.54296875" bestFit="1" customWidth="1"/>
    <col min="24" max="24" width="8.6328125" bestFit="1" customWidth="1"/>
    <col min="25" max="25" width="28.81640625" bestFit="1" customWidth="1"/>
    <col min="26" max="26" width="26.453125" bestFit="1" customWidth="1"/>
    <col min="27" max="27" width="11.453125" bestFit="1" customWidth="1"/>
    <col min="28" max="28" width="24.36328125" bestFit="1" customWidth="1"/>
    <col min="29" max="29" width="14.90625" bestFit="1" customWidth="1"/>
    <col min="30" max="30" width="14.6328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>
        <v>2013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36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43</v>
      </c>
      <c r="W2" t="s">
        <v>41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49</v>
      </c>
      <c r="AD2" t="s">
        <v>44</v>
      </c>
    </row>
    <row r="3" spans="1:30" x14ac:dyDescent="0.35">
      <c r="A3" t="s">
        <v>54</v>
      </c>
      <c r="B3">
        <v>2013</v>
      </c>
      <c r="C3" t="s">
        <v>31</v>
      </c>
      <c r="D3" t="s">
        <v>55</v>
      </c>
      <c r="E3" t="s">
        <v>56</v>
      </c>
      <c r="F3" t="s">
        <v>57</v>
      </c>
      <c r="G3" t="s">
        <v>58</v>
      </c>
      <c r="H3" t="s">
        <v>51</v>
      </c>
      <c r="I3" t="s">
        <v>59</v>
      </c>
      <c r="J3" t="s">
        <v>60</v>
      </c>
      <c r="K3" t="s">
        <v>46</v>
      </c>
      <c r="L3" t="s">
        <v>44</v>
      </c>
      <c r="M3" t="s">
        <v>61</v>
      </c>
      <c r="N3" t="s">
        <v>44</v>
      </c>
      <c r="O3" t="s">
        <v>62</v>
      </c>
      <c r="P3" t="s">
        <v>63</v>
      </c>
      <c r="Q3" t="s">
        <v>64</v>
      </c>
      <c r="R3" t="s">
        <v>63</v>
      </c>
      <c r="S3" t="s">
        <v>65</v>
      </c>
      <c r="T3" t="s">
        <v>46</v>
      </c>
      <c r="U3" t="s">
        <v>66</v>
      </c>
      <c r="V3" t="s">
        <v>67</v>
      </c>
      <c r="W3" t="s">
        <v>41</v>
      </c>
      <c r="X3" t="s">
        <v>68</v>
      </c>
      <c r="Y3" t="s">
        <v>69</v>
      </c>
      <c r="Z3" t="s">
        <v>60</v>
      </c>
      <c r="AA3" t="s">
        <v>70</v>
      </c>
      <c r="AB3" t="s">
        <v>71</v>
      </c>
      <c r="AC3" t="s">
        <v>72</v>
      </c>
      <c r="AD3" t="s">
        <v>49</v>
      </c>
    </row>
    <row r="4" spans="1:30" x14ac:dyDescent="0.35">
      <c r="A4" t="s">
        <v>73</v>
      </c>
      <c r="B4">
        <v>2013</v>
      </c>
      <c r="C4" t="s">
        <v>31</v>
      </c>
      <c r="D4" t="s">
        <v>74</v>
      </c>
      <c r="E4" t="s">
        <v>75</v>
      </c>
      <c r="F4" t="s">
        <v>76</v>
      </c>
      <c r="G4" t="s">
        <v>77</v>
      </c>
      <c r="H4" t="s">
        <v>44</v>
      </c>
      <c r="I4" t="s">
        <v>69</v>
      </c>
      <c r="J4" t="s">
        <v>78</v>
      </c>
      <c r="K4" t="s">
        <v>79</v>
      </c>
      <c r="L4" t="s">
        <v>80</v>
      </c>
      <c r="M4" t="s">
        <v>81</v>
      </c>
      <c r="N4" t="s">
        <v>35</v>
      </c>
      <c r="O4" t="s">
        <v>75</v>
      </c>
      <c r="P4" t="s">
        <v>82</v>
      </c>
      <c r="Q4" t="s">
        <v>44</v>
      </c>
      <c r="R4" t="s">
        <v>33</v>
      </c>
      <c r="S4" t="s">
        <v>43</v>
      </c>
      <c r="T4" t="s">
        <v>80</v>
      </c>
      <c r="U4" t="s">
        <v>66</v>
      </c>
      <c r="V4" t="s">
        <v>43</v>
      </c>
      <c r="W4" t="s">
        <v>41</v>
      </c>
      <c r="X4" t="s">
        <v>49</v>
      </c>
      <c r="Y4" t="s">
        <v>69</v>
      </c>
      <c r="Z4" t="s">
        <v>40</v>
      </c>
      <c r="AA4" t="s">
        <v>58</v>
      </c>
      <c r="AB4" t="s">
        <v>83</v>
      </c>
      <c r="AC4" t="s">
        <v>37</v>
      </c>
      <c r="AD4" t="s">
        <v>84</v>
      </c>
    </row>
    <row r="5" spans="1:30" x14ac:dyDescent="0.35">
      <c r="A5" t="s">
        <v>30</v>
      </c>
      <c r="B5">
        <v>2013</v>
      </c>
      <c r="C5" t="s">
        <v>85</v>
      </c>
      <c r="D5" t="s">
        <v>86</v>
      </c>
      <c r="E5" t="s">
        <v>87</v>
      </c>
      <c r="F5" t="s">
        <v>88</v>
      </c>
      <c r="G5" t="s">
        <v>67</v>
      </c>
      <c r="H5" t="s">
        <v>42</v>
      </c>
      <c r="I5" t="s">
        <v>49</v>
      </c>
      <c r="J5" t="s">
        <v>89</v>
      </c>
      <c r="K5" t="s">
        <v>63</v>
      </c>
      <c r="L5" t="s">
        <v>90</v>
      </c>
      <c r="M5" t="s">
        <v>40</v>
      </c>
      <c r="N5" t="s">
        <v>44</v>
      </c>
      <c r="O5" t="s">
        <v>91</v>
      </c>
      <c r="P5" t="s">
        <v>33</v>
      </c>
      <c r="Q5" t="s">
        <v>82</v>
      </c>
      <c r="R5" t="s">
        <v>92</v>
      </c>
      <c r="S5" t="s">
        <v>33</v>
      </c>
      <c r="T5" t="s">
        <v>93</v>
      </c>
      <c r="U5" t="s">
        <v>48</v>
      </c>
      <c r="V5" t="s">
        <v>80</v>
      </c>
      <c r="W5" t="s">
        <v>64</v>
      </c>
      <c r="X5" t="s">
        <v>77</v>
      </c>
      <c r="Y5" t="s">
        <v>37</v>
      </c>
      <c r="Z5" t="s">
        <v>49</v>
      </c>
      <c r="AA5" t="s">
        <v>68</v>
      </c>
      <c r="AB5" t="s">
        <v>84</v>
      </c>
      <c r="AC5" t="s">
        <v>77</v>
      </c>
      <c r="AD5" t="s">
        <v>46</v>
      </c>
    </row>
    <row r="6" spans="1:30" x14ac:dyDescent="0.35">
      <c r="A6" t="s">
        <v>54</v>
      </c>
      <c r="B6">
        <v>2013</v>
      </c>
      <c r="C6" t="s">
        <v>85</v>
      </c>
      <c r="D6" t="s">
        <v>94</v>
      </c>
      <c r="E6" t="s">
        <v>94</v>
      </c>
      <c r="F6" t="s">
        <v>95</v>
      </c>
      <c r="G6" t="s">
        <v>49</v>
      </c>
      <c r="H6" t="s">
        <v>70</v>
      </c>
      <c r="I6" t="s">
        <v>40</v>
      </c>
      <c r="J6" t="s">
        <v>35</v>
      </c>
      <c r="K6" t="s">
        <v>68</v>
      </c>
      <c r="L6" t="s">
        <v>52</v>
      </c>
      <c r="M6" t="s">
        <v>59</v>
      </c>
      <c r="N6" t="s">
        <v>79</v>
      </c>
      <c r="O6" t="s">
        <v>96</v>
      </c>
      <c r="P6" t="s">
        <v>97</v>
      </c>
      <c r="Q6" t="s">
        <v>79</v>
      </c>
      <c r="R6" t="s">
        <v>98</v>
      </c>
      <c r="S6" t="s">
        <v>43</v>
      </c>
      <c r="T6" t="s">
        <v>47</v>
      </c>
      <c r="U6" t="s">
        <v>99</v>
      </c>
      <c r="V6" t="s">
        <v>90</v>
      </c>
      <c r="W6" t="s">
        <v>64</v>
      </c>
      <c r="X6" t="s">
        <v>53</v>
      </c>
      <c r="Y6" t="s">
        <v>77</v>
      </c>
      <c r="Z6" t="s">
        <v>50</v>
      </c>
      <c r="AA6" t="s">
        <v>72</v>
      </c>
      <c r="AB6" t="s">
        <v>71</v>
      </c>
      <c r="AC6" t="s">
        <v>71</v>
      </c>
      <c r="AD6" t="s">
        <v>53</v>
      </c>
    </row>
    <row r="7" spans="1:30" x14ac:dyDescent="0.35">
      <c r="A7" t="s">
        <v>73</v>
      </c>
      <c r="B7">
        <v>2013</v>
      </c>
      <c r="C7" t="s">
        <v>85</v>
      </c>
      <c r="D7" t="s">
        <v>100</v>
      </c>
      <c r="E7" t="s">
        <v>88</v>
      </c>
      <c r="F7" t="s">
        <v>101</v>
      </c>
      <c r="G7" t="s">
        <v>35</v>
      </c>
      <c r="H7" t="s">
        <v>43</v>
      </c>
      <c r="I7" t="s">
        <v>58</v>
      </c>
      <c r="J7" t="s">
        <v>69</v>
      </c>
      <c r="K7" t="s">
        <v>102</v>
      </c>
      <c r="L7" t="s">
        <v>44</v>
      </c>
      <c r="M7" t="s">
        <v>103</v>
      </c>
      <c r="N7" t="s">
        <v>43</v>
      </c>
      <c r="O7" t="s">
        <v>104</v>
      </c>
      <c r="P7" t="s">
        <v>98</v>
      </c>
      <c r="Q7" t="s">
        <v>90</v>
      </c>
      <c r="R7" t="s">
        <v>105</v>
      </c>
      <c r="S7" t="s">
        <v>79</v>
      </c>
      <c r="T7" t="s">
        <v>39</v>
      </c>
      <c r="U7" t="s">
        <v>99</v>
      </c>
      <c r="V7" t="s">
        <v>79</v>
      </c>
      <c r="W7" t="s">
        <v>64</v>
      </c>
      <c r="X7" t="s">
        <v>83</v>
      </c>
      <c r="Y7" t="s">
        <v>106</v>
      </c>
      <c r="Z7" t="s">
        <v>58</v>
      </c>
      <c r="AA7" t="s">
        <v>37</v>
      </c>
      <c r="AB7" t="s">
        <v>83</v>
      </c>
      <c r="AC7" t="s">
        <v>77</v>
      </c>
      <c r="AD7" t="s">
        <v>102</v>
      </c>
    </row>
    <row r="8" spans="1:30" x14ac:dyDescent="0.35">
      <c r="A8" t="s">
        <v>30</v>
      </c>
      <c r="B8">
        <v>2013</v>
      </c>
      <c r="C8" t="s">
        <v>107</v>
      </c>
      <c r="D8" t="s">
        <v>88</v>
      </c>
      <c r="E8" t="s">
        <v>108</v>
      </c>
      <c r="F8" t="s">
        <v>109</v>
      </c>
      <c r="G8" t="s">
        <v>82</v>
      </c>
      <c r="H8" t="s">
        <v>80</v>
      </c>
      <c r="I8" t="s">
        <v>90</v>
      </c>
      <c r="J8" t="s">
        <v>110</v>
      </c>
      <c r="K8" t="s">
        <v>90</v>
      </c>
      <c r="L8" t="s">
        <v>65</v>
      </c>
      <c r="M8" t="s">
        <v>50</v>
      </c>
      <c r="N8" t="s">
        <v>82</v>
      </c>
      <c r="O8" t="s">
        <v>111</v>
      </c>
      <c r="P8" t="s">
        <v>98</v>
      </c>
      <c r="Q8" t="s">
        <v>45</v>
      </c>
      <c r="R8" t="s">
        <v>112</v>
      </c>
      <c r="S8" t="s">
        <v>39</v>
      </c>
      <c r="T8" t="s">
        <v>32</v>
      </c>
      <c r="U8" t="s">
        <v>48</v>
      </c>
      <c r="V8" t="s">
        <v>36</v>
      </c>
      <c r="W8" t="s">
        <v>82</v>
      </c>
      <c r="X8" t="s">
        <v>53</v>
      </c>
      <c r="Y8" t="s">
        <v>84</v>
      </c>
      <c r="Z8" t="s">
        <v>49</v>
      </c>
      <c r="AA8" t="s">
        <v>71</v>
      </c>
      <c r="AB8" t="s">
        <v>71</v>
      </c>
      <c r="AC8" t="s">
        <v>84</v>
      </c>
      <c r="AD8" t="s">
        <v>79</v>
      </c>
    </row>
    <row r="9" spans="1:30" x14ac:dyDescent="0.35">
      <c r="A9" t="s">
        <v>54</v>
      </c>
      <c r="B9">
        <v>2013</v>
      </c>
      <c r="C9" t="s">
        <v>107</v>
      </c>
      <c r="D9" t="s">
        <v>113</v>
      </c>
      <c r="E9" t="s">
        <v>114</v>
      </c>
      <c r="F9" t="s">
        <v>115</v>
      </c>
      <c r="G9" t="s">
        <v>71</v>
      </c>
      <c r="H9" t="s">
        <v>81</v>
      </c>
      <c r="I9" t="s">
        <v>35</v>
      </c>
      <c r="J9" t="s">
        <v>52</v>
      </c>
      <c r="K9" t="s">
        <v>70</v>
      </c>
      <c r="L9" t="s">
        <v>116</v>
      </c>
      <c r="M9" t="s">
        <v>89</v>
      </c>
      <c r="N9" t="s">
        <v>93</v>
      </c>
      <c r="O9" t="s">
        <v>117</v>
      </c>
      <c r="P9" t="s">
        <v>75</v>
      </c>
      <c r="Q9" t="s">
        <v>39</v>
      </c>
      <c r="R9" t="s">
        <v>97</v>
      </c>
      <c r="S9" t="s">
        <v>79</v>
      </c>
      <c r="T9" t="s">
        <v>93</v>
      </c>
      <c r="U9" t="s">
        <v>99</v>
      </c>
      <c r="V9" t="s">
        <v>79</v>
      </c>
      <c r="W9" t="s">
        <v>90</v>
      </c>
      <c r="X9" t="s">
        <v>64</v>
      </c>
      <c r="Y9" t="s">
        <v>43</v>
      </c>
      <c r="Z9" t="s">
        <v>70</v>
      </c>
      <c r="AA9" t="s">
        <v>52</v>
      </c>
      <c r="AB9" t="s">
        <v>106</v>
      </c>
      <c r="AC9" t="s">
        <v>35</v>
      </c>
      <c r="AD9" t="s">
        <v>65</v>
      </c>
    </row>
    <row r="10" spans="1:30" x14ac:dyDescent="0.35">
      <c r="A10" t="s">
        <v>73</v>
      </c>
      <c r="B10">
        <v>2013</v>
      </c>
      <c r="C10" t="s">
        <v>107</v>
      </c>
      <c r="D10" t="s">
        <v>114</v>
      </c>
      <c r="E10" t="s">
        <v>118</v>
      </c>
      <c r="F10" t="s">
        <v>119</v>
      </c>
      <c r="G10" t="s">
        <v>44</v>
      </c>
      <c r="H10" t="s">
        <v>35</v>
      </c>
      <c r="I10" t="s">
        <v>102</v>
      </c>
      <c r="J10" t="s">
        <v>78</v>
      </c>
      <c r="K10" t="s">
        <v>65</v>
      </c>
      <c r="L10" t="s">
        <v>106</v>
      </c>
      <c r="M10" t="s">
        <v>120</v>
      </c>
      <c r="N10" t="s">
        <v>80</v>
      </c>
      <c r="O10" t="s">
        <v>121</v>
      </c>
      <c r="P10" t="s">
        <v>105</v>
      </c>
      <c r="Q10" t="s">
        <v>98</v>
      </c>
      <c r="R10" t="s">
        <v>122</v>
      </c>
      <c r="S10" t="s">
        <v>45</v>
      </c>
      <c r="T10" t="s">
        <v>75</v>
      </c>
      <c r="U10" t="s">
        <v>99</v>
      </c>
      <c r="V10" t="s">
        <v>36</v>
      </c>
      <c r="W10" t="s">
        <v>82</v>
      </c>
      <c r="X10" t="s">
        <v>35</v>
      </c>
      <c r="Y10" t="s">
        <v>44</v>
      </c>
      <c r="Z10" t="s">
        <v>72</v>
      </c>
      <c r="AA10" t="s">
        <v>49</v>
      </c>
      <c r="AB10" t="s">
        <v>71</v>
      </c>
      <c r="AC10" t="s">
        <v>53</v>
      </c>
      <c r="AD10" t="s">
        <v>43</v>
      </c>
    </row>
    <row r="11" spans="1:30" x14ac:dyDescent="0.35">
      <c r="A11" t="s">
        <v>30</v>
      </c>
      <c r="B11">
        <v>2013</v>
      </c>
      <c r="C11" t="s">
        <v>123</v>
      </c>
      <c r="D11" t="s">
        <v>88</v>
      </c>
      <c r="E11" t="s">
        <v>124</v>
      </c>
      <c r="F11" t="s">
        <v>105</v>
      </c>
      <c r="G11" t="s">
        <v>33</v>
      </c>
      <c r="H11" t="s">
        <v>90</v>
      </c>
      <c r="I11" t="s">
        <v>104</v>
      </c>
      <c r="J11" t="s">
        <v>51</v>
      </c>
      <c r="K11" t="s">
        <v>90</v>
      </c>
      <c r="L11" t="s">
        <v>106</v>
      </c>
      <c r="M11" t="s">
        <v>69</v>
      </c>
      <c r="N11" t="s">
        <v>45</v>
      </c>
      <c r="O11" t="s">
        <v>108</v>
      </c>
      <c r="P11" t="s">
        <v>92</v>
      </c>
      <c r="Q11" t="s">
        <v>92</v>
      </c>
      <c r="R11" t="s">
        <v>34</v>
      </c>
      <c r="S11" t="s">
        <v>122</v>
      </c>
      <c r="T11" t="s">
        <v>125</v>
      </c>
      <c r="U11" t="s">
        <v>48</v>
      </c>
      <c r="V11" t="s">
        <v>45</v>
      </c>
      <c r="W11" t="s">
        <v>36</v>
      </c>
      <c r="X11" t="s">
        <v>44</v>
      </c>
      <c r="Y11" t="s">
        <v>77</v>
      </c>
      <c r="Z11" t="s">
        <v>83</v>
      </c>
      <c r="AA11" t="s">
        <v>41</v>
      </c>
      <c r="AB11" t="s">
        <v>81</v>
      </c>
      <c r="AC11" t="s">
        <v>84</v>
      </c>
      <c r="AD11" t="s">
        <v>47</v>
      </c>
    </row>
    <row r="12" spans="1:30" x14ac:dyDescent="0.35">
      <c r="A12" t="s">
        <v>54</v>
      </c>
      <c r="B12">
        <v>2013</v>
      </c>
      <c r="C12" t="s">
        <v>123</v>
      </c>
      <c r="D12" t="s">
        <v>126</v>
      </c>
      <c r="E12" t="s">
        <v>127</v>
      </c>
      <c r="F12" t="s">
        <v>79</v>
      </c>
      <c r="G12" t="s">
        <v>53</v>
      </c>
      <c r="H12" t="s">
        <v>128</v>
      </c>
      <c r="I12" t="s">
        <v>124</v>
      </c>
      <c r="J12" t="s">
        <v>118</v>
      </c>
      <c r="K12" t="s">
        <v>84</v>
      </c>
      <c r="L12" t="s">
        <v>129</v>
      </c>
      <c r="M12" t="s">
        <v>70</v>
      </c>
      <c r="N12" t="s">
        <v>111</v>
      </c>
      <c r="O12" t="s">
        <v>130</v>
      </c>
      <c r="P12" t="s">
        <v>108</v>
      </c>
      <c r="Q12" t="s">
        <v>131</v>
      </c>
      <c r="R12" t="s">
        <v>62</v>
      </c>
      <c r="S12" t="s">
        <v>47</v>
      </c>
      <c r="T12" t="s">
        <v>91</v>
      </c>
      <c r="U12" t="s">
        <v>132</v>
      </c>
      <c r="V12" t="s">
        <v>47</v>
      </c>
      <c r="W12" t="s">
        <v>45</v>
      </c>
      <c r="X12" t="s">
        <v>90</v>
      </c>
      <c r="Y12" t="s">
        <v>65</v>
      </c>
      <c r="Z12" t="s">
        <v>49</v>
      </c>
      <c r="AA12" t="s">
        <v>64</v>
      </c>
      <c r="AB12" t="s">
        <v>69</v>
      </c>
      <c r="AC12" t="s">
        <v>44</v>
      </c>
      <c r="AD12" t="s">
        <v>90</v>
      </c>
    </row>
    <row r="13" spans="1:30" x14ac:dyDescent="0.35">
      <c r="A13" t="s">
        <v>73</v>
      </c>
      <c r="B13">
        <v>2013</v>
      </c>
      <c r="C13" t="s">
        <v>123</v>
      </c>
      <c r="D13" t="s">
        <v>133</v>
      </c>
      <c r="E13" t="s">
        <v>134</v>
      </c>
      <c r="F13" t="s">
        <v>98</v>
      </c>
      <c r="G13" t="s">
        <v>90</v>
      </c>
      <c r="H13" t="s">
        <v>77</v>
      </c>
      <c r="I13" t="s">
        <v>121</v>
      </c>
      <c r="J13" t="s">
        <v>43</v>
      </c>
      <c r="K13" t="s">
        <v>102</v>
      </c>
      <c r="L13" t="s">
        <v>70</v>
      </c>
      <c r="M13" t="s">
        <v>50</v>
      </c>
      <c r="N13" t="s">
        <v>97</v>
      </c>
      <c r="O13" t="s">
        <v>135</v>
      </c>
      <c r="P13" t="s">
        <v>91</v>
      </c>
      <c r="Q13" t="s">
        <v>32</v>
      </c>
      <c r="R13" t="s">
        <v>125</v>
      </c>
      <c r="S13" t="s">
        <v>93</v>
      </c>
      <c r="T13" t="s">
        <v>62</v>
      </c>
      <c r="U13" t="s">
        <v>132</v>
      </c>
      <c r="V13" t="s">
        <v>45</v>
      </c>
      <c r="W13" t="s">
        <v>33</v>
      </c>
      <c r="X13" t="s">
        <v>102</v>
      </c>
      <c r="Y13" t="s">
        <v>53</v>
      </c>
      <c r="Z13" t="s">
        <v>106</v>
      </c>
      <c r="AA13" t="s">
        <v>65</v>
      </c>
      <c r="AB13" t="s">
        <v>60</v>
      </c>
      <c r="AC13" t="s">
        <v>41</v>
      </c>
      <c r="AD13" t="s">
        <v>36</v>
      </c>
    </row>
    <row r="14" spans="1:30" x14ac:dyDescent="0.35">
      <c r="A14" t="s">
        <v>30</v>
      </c>
      <c r="B14">
        <v>2013</v>
      </c>
      <c r="C14" t="s">
        <v>136</v>
      </c>
      <c r="D14" t="s">
        <v>134</v>
      </c>
      <c r="E14" t="s">
        <v>117</v>
      </c>
      <c r="F14" t="s">
        <v>63</v>
      </c>
      <c r="G14" t="s">
        <v>32</v>
      </c>
      <c r="H14" t="s">
        <v>102</v>
      </c>
      <c r="I14" t="s">
        <v>34</v>
      </c>
      <c r="J14" t="s">
        <v>75</v>
      </c>
      <c r="K14" t="s">
        <v>36</v>
      </c>
      <c r="L14" t="s">
        <v>72</v>
      </c>
      <c r="M14" t="s">
        <v>49</v>
      </c>
      <c r="N14" t="s">
        <v>122</v>
      </c>
      <c r="O14" t="s">
        <v>109</v>
      </c>
      <c r="P14" t="s">
        <v>34</v>
      </c>
      <c r="Q14" t="s">
        <v>34</v>
      </c>
      <c r="R14" t="s">
        <v>108</v>
      </c>
      <c r="S14" t="s">
        <v>62</v>
      </c>
      <c r="T14" t="s">
        <v>137</v>
      </c>
      <c r="U14" t="s">
        <v>48</v>
      </c>
      <c r="V14" t="s">
        <v>32</v>
      </c>
      <c r="W14" t="s">
        <v>39</v>
      </c>
      <c r="X14" t="s">
        <v>90</v>
      </c>
      <c r="Y14" t="s">
        <v>68</v>
      </c>
      <c r="Z14" t="s">
        <v>65</v>
      </c>
      <c r="AA14" t="s">
        <v>43</v>
      </c>
      <c r="AB14" t="s">
        <v>128</v>
      </c>
      <c r="AC14" t="s">
        <v>41</v>
      </c>
      <c r="AD14" t="s">
        <v>97</v>
      </c>
    </row>
    <row r="15" spans="1:30" x14ac:dyDescent="0.35">
      <c r="A15" t="s">
        <v>54</v>
      </c>
      <c r="B15">
        <v>2013</v>
      </c>
      <c r="C15" t="s">
        <v>136</v>
      </c>
      <c r="D15" t="s">
        <v>138</v>
      </c>
      <c r="E15" t="s">
        <v>139</v>
      </c>
      <c r="F15" t="s">
        <v>81</v>
      </c>
      <c r="G15" t="s">
        <v>43</v>
      </c>
      <c r="H15" t="s">
        <v>140</v>
      </c>
      <c r="I15" t="s">
        <v>130</v>
      </c>
      <c r="J15" t="s">
        <v>141</v>
      </c>
      <c r="K15" t="s">
        <v>64</v>
      </c>
      <c r="L15" t="s">
        <v>38</v>
      </c>
      <c r="M15" t="s">
        <v>65</v>
      </c>
      <c r="N15" t="s">
        <v>56</v>
      </c>
      <c r="O15" t="s">
        <v>142</v>
      </c>
      <c r="P15" t="s">
        <v>143</v>
      </c>
      <c r="Q15" t="s">
        <v>117</v>
      </c>
      <c r="R15" t="s">
        <v>131</v>
      </c>
      <c r="S15" t="s">
        <v>42</v>
      </c>
      <c r="T15" t="s">
        <v>104</v>
      </c>
      <c r="U15" t="s">
        <v>132</v>
      </c>
      <c r="V15" t="s">
        <v>97</v>
      </c>
      <c r="W15" t="s">
        <v>92</v>
      </c>
      <c r="X15" t="s">
        <v>80</v>
      </c>
      <c r="Y15" t="s">
        <v>37</v>
      </c>
      <c r="Z15" t="s">
        <v>84</v>
      </c>
      <c r="AA15" t="s">
        <v>90</v>
      </c>
      <c r="AB15" t="s">
        <v>116</v>
      </c>
      <c r="AC15" t="s">
        <v>35</v>
      </c>
      <c r="AD15" t="s">
        <v>98</v>
      </c>
    </row>
    <row r="16" spans="1:30" x14ac:dyDescent="0.35">
      <c r="A16" t="s">
        <v>73</v>
      </c>
      <c r="B16">
        <v>2013</v>
      </c>
      <c r="C16" t="s">
        <v>136</v>
      </c>
      <c r="D16" t="s">
        <v>144</v>
      </c>
      <c r="E16" t="s">
        <v>142</v>
      </c>
      <c r="F16" t="s">
        <v>53</v>
      </c>
      <c r="G16" t="s">
        <v>39</v>
      </c>
      <c r="H16" t="s">
        <v>37</v>
      </c>
      <c r="I16" t="s">
        <v>145</v>
      </c>
      <c r="J16" t="s">
        <v>94</v>
      </c>
      <c r="K16" t="s">
        <v>46</v>
      </c>
      <c r="L16" t="s">
        <v>40</v>
      </c>
      <c r="M16" t="s">
        <v>71</v>
      </c>
      <c r="N16" t="s">
        <v>34</v>
      </c>
      <c r="O16" t="s">
        <v>55</v>
      </c>
      <c r="P16" t="s">
        <v>86</v>
      </c>
      <c r="Q16" t="s">
        <v>137</v>
      </c>
      <c r="R16" t="s">
        <v>87</v>
      </c>
      <c r="S16" t="s">
        <v>122</v>
      </c>
      <c r="T16" t="s">
        <v>131</v>
      </c>
      <c r="U16" t="s">
        <v>132</v>
      </c>
      <c r="V16" t="s">
        <v>122</v>
      </c>
      <c r="W16" t="s">
        <v>105</v>
      </c>
      <c r="X16" t="s">
        <v>63</v>
      </c>
      <c r="Y16" t="s">
        <v>49</v>
      </c>
      <c r="Z16" t="s">
        <v>41</v>
      </c>
      <c r="AA16" t="s">
        <v>82</v>
      </c>
      <c r="AB16" t="s">
        <v>59</v>
      </c>
      <c r="AC16" t="s">
        <v>41</v>
      </c>
      <c r="AD16" t="s">
        <v>105</v>
      </c>
    </row>
    <row r="17" spans="1:30" x14ac:dyDescent="0.35">
      <c r="A17" t="s">
        <v>30</v>
      </c>
      <c r="B17">
        <v>2013</v>
      </c>
      <c r="C17" t="s">
        <v>146</v>
      </c>
      <c r="D17" t="s">
        <v>144</v>
      </c>
      <c r="E17" t="s">
        <v>147</v>
      </c>
      <c r="F17" t="s">
        <v>34</v>
      </c>
      <c r="G17" t="s">
        <v>104</v>
      </c>
      <c r="H17" t="s">
        <v>63</v>
      </c>
      <c r="I17" t="s">
        <v>86</v>
      </c>
      <c r="J17" t="s">
        <v>148</v>
      </c>
      <c r="K17" t="s">
        <v>39</v>
      </c>
      <c r="L17" t="s">
        <v>68</v>
      </c>
      <c r="M17" t="s">
        <v>67</v>
      </c>
      <c r="N17" t="s">
        <v>111</v>
      </c>
      <c r="O17" t="s">
        <v>149</v>
      </c>
      <c r="P17" t="s">
        <v>130</v>
      </c>
      <c r="Q17" t="s">
        <v>96</v>
      </c>
      <c r="R17" t="s">
        <v>118</v>
      </c>
      <c r="S17" t="s">
        <v>108</v>
      </c>
      <c r="T17" t="s">
        <v>124</v>
      </c>
      <c r="U17" t="s">
        <v>48</v>
      </c>
      <c r="V17" t="s">
        <v>131</v>
      </c>
      <c r="W17" t="s">
        <v>32</v>
      </c>
      <c r="X17" t="s">
        <v>33</v>
      </c>
      <c r="Y17" t="s">
        <v>65</v>
      </c>
      <c r="Z17" t="s">
        <v>82</v>
      </c>
      <c r="AA17" t="s">
        <v>45</v>
      </c>
      <c r="AB17" t="s">
        <v>150</v>
      </c>
      <c r="AC17" t="s">
        <v>43</v>
      </c>
      <c r="AD17" t="s">
        <v>121</v>
      </c>
    </row>
    <row r="18" spans="1:30" x14ac:dyDescent="0.35">
      <c r="A18" t="s">
        <v>54</v>
      </c>
      <c r="B18">
        <v>2013</v>
      </c>
      <c r="C18" t="s">
        <v>146</v>
      </c>
      <c r="D18" t="s">
        <v>151</v>
      </c>
      <c r="E18" t="s">
        <v>152</v>
      </c>
      <c r="F18" t="s">
        <v>153</v>
      </c>
      <c r="G18" t="s">
        <v>75</v>
      </c>
      <c r="H18" t="s">
        <v>154</v>
      </c>
      <c r="I18" t="s">
        <v>155</v>
      </c>
      <c r="J18" t="s">
        <v>156</v>
      </c>
      <c r="K18" t="s">
        <v>67</v>
      </c>
      <c r="L18" t="s">
        <v>110</v>
      </c>
      <c r="M18" t="s">
        <v>47</v>
      </c>
      <c r="N18" t="s">
        <v>76</v>
      </c>
      <c r="O18" t="s">
        <v>157</v>
      </c>
      <c r="P18" t="s">
        <v>158</v>
      </c>
      <c r="Q18" t="s">
        <v>134</v>
      </c>
      <c r="R18" t="s">
        <v>86</v>
      </c>
      <c r="S18" t="s">
        <v>97</v>
      </c>
      <c r="T18" t="s">
        <v>121</v>
      </c>
      <c r="U18" t="s">
        <v>98</v>
      </c>
      <c r="V18" t="s">
        <v>125</v>
      </c>
      <c r="W18" t="s">
        <v>91</v>
      </c>
      <c r="X18" t="s">
        <v>45</v>
      </c>
      <c r="Y18" t="s">
        <v>64</v>
      </c>
      <c r="Z18" t="s">
        <v>64</v>
      </c>
      <c r="AA18" t="s">
        <v>34</v>
      </c>
      <c r="AB18" t="s">
        <v>50</v>
      </c>
      <c r="AC18" t="s">
        <v>36</v>
      </c>
      <c r="AD18" t="s">
        <v>118</v>
      </c>
    </row>
    <row r="19" spans="1:30" x14ac:dyDescent="0.35">
      <c r="A19" t="s">
        <v>73</v>
      </c>
      <c r="B19">
        <v>2013</v>
      </c>
      <c r="C19" t="s">
        <v>146</v>
      </c>
      <c r="D19" t="s">
        <v>159</v>
      </c>
      <c r="E19" t="s">
        <v>160</v>
      </c>
      <c r="F19" t="s">
        <v>117</v>
      </c>
      <c r="G19" t="s">
        <v>62</v>
      </c>
      <c r="H19" t="s">
        <v>106</v>
      </c>
      <c r="I19" t="s">
        <v>161</v>
      </c>
      <c r="J19" t="s">
        <v>162</v>
      </c>
      <c r="K19" t="s">
        <v>33</v>
      </c>
      <c r="L19" t="s">
        <v>69</v>
      </c>
      <c r="M19" t="s">
        <v>90</v>
      </c>
      <c r="N19" t="s">
        <v>96</v>
      </c>
      <c r="O19" t="s">
        <v>133</v>
      </c>
      <c r="P19" t="s">
        <v>157</v>
      </c>
      <c r="Q19" t="s">
        <v>124</v>
      </c>
      <c r="R19" t="s">
        <v>124</v>
      </c>
      <c r="S19" t="s">
        <v>34</v>
      </c>
      <c r="T19" t="s">
        <v>145</v>
      </c>
      <c r="U19" t="s">
        <v>98</v>
      </c>
      <c r="V19" t="s">
        <v>104</v>
      </c>
      <c r="W19" t="s">
        <v>112</v>
      </c>
      <c r="X19" t="s">
        <v>47</v>
      </c>
      <c r="Y19" t="s">
        <v>44</v>
      </c>
      <c r="Z19" t="s">
        <v>67</v>
      </c>
      <c r="AA19" t="s">
        <v>122</v>
      </c>
      <c r="AB19" t="s">
        <v>103</v>
      </c>
      <c r="AC19" t="s">
        <v>46</v>
      </c>
      <c r="AD19" t="s">
        <v>145</v>
      </c>
    </row>
    <row r="20" spans="1:30" x14ac:dyDescent="0.35">
      <c r="A20" t="s">
        <v>30</v>
      </c>
      <c r="B20">
        <v>2013</v>
      </c>
      <c r="C20" t="s">
        <v>163</v>
      </c>
      <c r="D20" t="s">
        <v>127</v>
      </c>
      <c r="E20" t="s">
        <v>160</v>
      </c>
      <c r="F20" t="s">
        <v>55</v>
      </c>
      <c r="G20" t="s">
        <v>145</v>
      </c>
      <c r="H20" t="s">
        <v>80</v>
      </c>
      <c r="I20" t="s">
        <v>164</v>
      </c>
      <c r="J20" t="s">
        <v>165</v>
      </c>
      <c r="K20" t="s">
        <v>92</v>
      </c>
      <c r="L20" t="s">
        <v>71</v>
      </c>
      <c r="M20" t="s">
        <v>47</v>
      </c>
      <c r="N20" t="s">
        <v>56</v>
      </c>
      <c r="O20" t="s">
        <v>147</v>
      </c>
      <c r="P20" t="s">
        <v>166</v>
      </c>
      <c r="Q20" t="s">
        <v>117</v>
      </c>
      <c r="R20" t="s">
        <v>55</v>
      </c>
      <c r="S20" t="s">
        <v>124</v>
      </c>
      <c r="T20" t="s">
        <v>164</v>
      </c>
      <c r="U20" t="s">
        <v>48</v>
      </c>
      <c r="V20" t="s">
        <v>124</v>
      </c>
      <c r="W20" t="s">
        <v>104</v>
      </c>
      <c r="X20" t="s">
        <v>105</v>
      </c>
      <c r="Y20" t="s">
        <v>39</v>
      </c>
      <c r="Z20" t="s">
        <v>47</v>
      </c>
      <c r="AA20" t="s">
        <v>167</v>
      </c>
      <c r="AB20" t="s">
        <v>150</v>
      </c>
      <c r="AC20" t="s">
        <v>45</v>
      </c>
      <c r="AD20" t="s">
        <v>161</v>
      </c>
    </row>
    <row r="21" spans="1:30" x14ac:dyDescent="0.35">
      <c r="A21" t="s">
        <v>54</v>
      </c>
      <c r="B21">
        <v>2013</v>
      </c>
      <c r="C21" t="s">
        <v>163</v>
      </c>
      <c r="D21" t="s">
        <v>168</v>
      </c>
      <c r="E21" t="s">
        <v>169</v>
      </c>
      <c r="F21" t="s">
        <v>170</v>
      </c>
      <c r="G21" t="s">
        <v>104</v>
      </c>
      <c r="H21" t="s">
        <v>171</v>
      </c>
      <c r="I21" t="s">
        <v>115</v>
      </c>
      <c r="J21" t="s">
        <v>172</v>
      </c>
      <c r="K21" t="s">
        <v>44</v>
      </c>
      <c r="L21" t="s">
        <v>154</v>
      </c>
      <c r="M21" t="s">
        <v>32</v>
      </c>
      <c r="N21" t="s">
        <v>100</v>
      </c>
      <c r="O21" t="s">
        <v>166</v>
      </c>
      <c r="P21" t="s">
        <v>173</v>
      </c>
      <c r="Q21" t="s">
        <v>174</v>
      </c>
      <c r="R21" t="s">
        <v>117</v>
      </c>
      <c r="S21" t="s">
        <v>167</v>
      </c>
      <c r="T21" t="s">
        <v>124</v>
      </c>
      <c r="U21" t="s">
        <v>91</v>
      </c>
      <c r="V21" t="s">
        <v>137</v>
      </c>
      <c r="W21" t="s">
        <v>34</v>
      </c>
      <c r="X21" t="s">
        <v>92</v>
      </c>
      <c r="Y21" t="s">
        <v>75</v>
      </c>
      <c r="Z21" t="s">
        <v>63</v>
      </c>
      <c r="AA21" t="s">
        <v>175</v>
      </c>
      <c r="AB21" t="s">
        <v>69</v>
      </c>
      <c r="AC21" t="s">
        <v>75</v>
      </c>
      <c r="AD21" t="s">
        <v>114</v>
      </c>
    </row>
    <row r="22" spans="1:30" x14ac:dyDescent="0.35">
      <c r="A22" t="s">
        <v>73</v>
      </c>
      <c r="B22">
        <v>2013</v>
      </c>
      <c r="C22" t="s">
        <v>163</v>
      </c>
      <c r="D22" t="s">
        <v>176</v>
      </c>
      <c r="E22" t="s">
        <v>177</v>
      </c>
      <c r="F22" t="s">
        <v>178</v>
      </c>
      <c r="G22" t="s">
        <v>121</v>
      </c>
      <c r="H22" t="s">
        <v>71</v>
      </c>
      <c r="I22" t="s">
        <v>174</v>
      </c>
      <c r="J22" t="s">
        <v>179</v>
      </c>
      <c r="K22" t="s">
        <v>47</v>
      </c>
      <c r="L22" t="s">
        <v>50</v>
      </c>
      <c r="M22" t="s">
        <v>39</v>
      </c>
      <c r="N22" t="s">
        <v>135</v>
      </c>
      <c r="O22" t="s">
        <v>180</v>
      </c>
      <c r="P22" t="s">
        <v>181</v>
      </c>
      <c r="Q22" t="s">
        <v>164</v>
      </c>
      <c r="R22" t="s">
        <v>88</v>
      </c>
      <c r="S22" t="s">
        <v>108</v>
      </c>
      <c r="T22" t="s">
        <v>76</v>
      </c>
      <c r="U22" t="s">
        <v>91</v>
      </c>
      <c r="V22" t="s">
        <v>86</v>
      </c>
      <c r="W22" t="s">
        <v>111</v>
      </c>
      <c r="X22" t="s">
        <v>93</v>
      </c>
      <c r="Y22" t="s">
        <v>92</v>
      </c>
      <c r="Z22" t="s">
        <v>36</v>
      </c>
      <c r="AA22" t="s">
        <v>56</v>
      </c>
      <c r="AB22" t="s">
        <v>103</v>
      </c>
      <c r="AC22" t="s">
        <v>105</v>
      </c>
      <c r="AD22" t="s">
        <v>149</v>
      </c>
    </row>
    <row r="23" spans="1:30" x14ac:dyDescent="0.35">
      <c r="A23" t="s">
        <v>30</v>
      </c>
      <c r="B23">
        <v>2013</v>
      </c>
      <c r="C23" t="s">
        <v>182</v>
      </c>
      <c r="D23" t="s">
        <v>183</v>
      </c>
      <c r="E23" t="s">
        <v>138</v>
      </c>
      <c r="F23" t="s">
        <v>143</v>
      </c>
      <c r="G23" t="s">
        <v>76</v>
      </c>
      <c r="H23" t="s">
        <v>47</v>
      </c>
      <c r="I23" t="s">
        <v>184</v>
      </c>
      <c r="J23" t="s">
        <v>185</v>
      </c>
      <c r="K23" t="s">
        <v>122</v>
      </c>
      <c r="L23" t="s">
        <v>68</v>
      </c>
      <c r="M23" t="s">
        <v>105</v>
      </c>
      <c r="N23" t="s">
        <v>118</v>
      </c>
      <c r="O23" t="s">
        <v>180</v>
      </c>
      <c r="P23" t="s">
        <v>160</v>
      </c>
      <c r="Q23" t="s">
        <v>161</v>
      </c>
      <c r="R23" t="s">
        <v>142</v>
      </c>
      <c r="S23" t="s">
        <v>88</v>
      </c>
      <c r="T23" t="s">
        <v>143</v>
      </c>
      <c r="U23" t="s">
        <v>48</v>
      </c>
      <c r="V23" t="s">
        <v>109</v>
      </c>
      <c r="W23" t="s">
        <v>87</v>
      </c>
      <c r="X23" t="s">
        <v>32</v>
      </c>
      <c r="Y23" t="s">
        <v>167</v>
      </c>
      <c r="Z23" t="s">
        <v>39</v>
      </c>
      <c r="AA23" t="s">
        <v>87</v>
      </c>
      <c r="AB23" t="s">
        <v>65</v>
      </c>
      <c r="AC23" t="s">
        <v>32</v>
      </c>
      <c r="AD23" t="s">
        <v>147</v>
      </c>
    </row>
    <row r="24" spans="1:30" x14ac:dyDescent="0.35">
      <c r="A24" t="s">
        <v>54</v>
      </c>
      <c r="B24">
        <v>2013</v>
      </c>
      <c r="C24" t="s">
        <v>182</v>
      </c>
      <c r="D24" t="s">
        <v>186</v>
      </c>
      <c r="E24" t="s">
        <v>187</v>
      </c>
      <c r="F24" t="s">
        <v>188</v>
      </c>
      <c r="G24" t="s">
        <v>121</v>
      </c>
      <c r="H24" t="s">
        <v>171</v>
      </c>
      <c r="I24" t="s">
        <v>87</v>
      </c>
      <c r="J24" t="s">
        <v>189</v>
      </c>
      <c r="K24" t="s">
        <v>53</v>
      </c>
      <c r="L24" t="s">
        <v>190</v>
      </c>
      <c r="M24" t="s">
        <v>131</v>
      </c>
      <c r="N24" t="s">
        <v>134</v>
      </c>
      <c r="O24" t="s">
        <v>183</v>
      </c>
      <c r="P24" t="s">
        <v>191</v>
      </c>
      <c r="Q24" t="s">
        <v>155</v>
      </c>
      <c r="R24" t="s">
        <v>130</v>
      </c>
      <c r="S24" t="s">
        <v>104</v>
      </c>
      <c r="T24" t="s">
        <v>88</v>
      </c>
      <c r="U24" t="s">
        <v>121</v>
      </c>
      <c r="V24" t="s">
        <v>145</v>
      </c>
      <c r="W24" t="s">
        <v>87</v>
      </c>
      <c r="X24" t="s">
        <v>112</v>
      </c>
      <c r="Y24" t="s">
        <v>34</v>
      </c>
      <c r="Z24" t="s">
        <v>45</v>
      </c>
      <c r="AA24" t="s">
        <v>184</v>
      </c>
      <c r="AB24" t="s">
        <v>79</v>
      </c>
      <c r="AC24" t="s">
        <v>104</v>
      </c>
      <c r="AD24" t="s">
        <v>188</v>
      </c>
    </row>
    <row r="25" spans="1:30" x14ac:dyDescent="0.35">
      <c r="A25" t="s">
        <v>73</v>
      </c>
      <c r="B25">
        <v>2013</v>
      </c>
      <c r="C25" t="s">
        <v>182</v>
      </c>
      <c r="D25" t="s">
        <v>192</v>
      </c>
      <c r="E25" t="s">
        <v>193</v>
      </c>
      <c r="F25" t="s">
        <v>174</v>
      </c>
      <c r="G25" t="s">
        <v>135</v>
      </c>
      <c r="H25" t="s">
        <v>83</v>
      </c>
      <c r="I25" t="s">
        <v>117</v>
      </c>
      <c r="J25" t="s">
        <v>194</v>
      </c>
      <c r="K25" t="s">
        <v>45</v>
      </c>
      <c r="L25" t="s">
        <v>40</v>
      </c>
      <c r="M25" t="s">
        <v>122</v>
      </c>
      <c r="N25" t="s">
        <v>88</v>
      </c>
      <c r="O25" t="s">
        <v>127</v>
      </c>
      <c r="P25" t="s">
        <v>195</v>
      </c>
      <c r="Q25" t="s">
        <v>119</v>
      </c>
      <c r="R25" t="s">
        <v>149</v>
      </c>
      <c r="S25" t="s">
        <v>196</v>
      </c>
      <c r="T25" t="s">
        <v>161</v>
      </c>
      <c r="U25" t="s">
        <v>121</v>
      </c>
      <c r="V25" t="s">
        <v>118</v>
      </c>
      <c r="W25" t="s">
        <v>87</v>
      </c>
      <c r="X25" t="s">
        <v>32</v>
      </c>
      <c r="Y25" t="s">
        <v>125</v>
      </c>
      <c r="Z25" t="s">
        <v>98</v>
      </c>
      <c r="AA25" t="s">
        <v>109</v>
      </c>
      <c r="AB25" t="s">
        <v>67</v>
      </c>
      <c r="AC25" t="s">
        <v>62</v>
      </c>
      <c r="AD25" t="s">
        <v>155</v>
      </c>
    </row>
    <row r="26" spans="1:30" x14ac:dyDescent="0.35">
      <c r="A26" t="s">
        <v>30</v>
      </c>
      <c r="B26">
        <v>2013</v>
      </c>
      <c r="C26" t="s">
        <v>197</v>
      </c>
      <c r="D26" t="s">
        <v>138</v>
      </c>
      <c r="E26" t="s">
        <v>198</v>
      </c>
      <c r="F26" t="s">
        <v>174</v>
      </c>
      <c r="G26" t="s">
        <v>149</v>
      </c>
      <c r="H26" t="s">
        <v>122</v>
      </c>
      <c r="I26" t="s">
        <v>134</v>
      </c>
      <c r="J26" t="s">
        <v>199</v>
      </c>
      <c r="K26" t="s">
        <v>34</v>
      </c>
      <c r="L26" t="s">
        <v>106</v>
      </c>
      <c r="M26" t="s">
        <v>62</v>
      </c>
      <c r="N26" t="s">
        <v>100</v>
      </c>
      <c r="O26" t="s">
        <v>170</v>
      </c>
      <c r="P26" t="s">
        <v>168</v>
      </c>
      <c r="Q26" t="s">
        <v>174</v>
      </c>
      <c r="R26" t="s">
        <v>188</v>
      </c>
      <c r="S26" t="s">
        <v>114</v>
      </c>
      <c r="T26" t="s">
        <v>153</v>
      </c>
      <c r="U26" t="s">
        <v>48</v>
      </c>
      <c r="V26" t="s">
        <v>143</v>
      </c>
      <c r="W26" t="s">
        <v>135</v>
      </c>
      <c r="X26" t="s">
        <v>104</v>
      </c>
      <c r="Y26" t="s">
        <v>145</v>
      </c>
      <c r="Z26" t="s">
        <v>91</v>
      </c>
      <c r="AA26" t="s">
        <v>117</v>
      </c>
      <c r="AB26" t="s">
        <v>42</v>
      </c>
      <c r="AC26" t="s">
        <v>87</v>
      </c>
      <c r="AD26" t="s">
        <v>139</v>
      </c>
    </row>
    <row r="27" spans="1:30" x14ac:dyDescent="0.35">
      <c r="A27" t="s">
        <v>54</v>
      </c>
      <c r="B27">
        <v>2013</v>
      </c>
      <c r="C27" t="s">
        <v>197</v>
      </c>
      <c r="D27" t="s">
        <v>200</v>
      </c>
      <c r="E27" t="s">
        <v>201</v>
      </c>
      <c r="F27" t="s">
        <v>115</v>
      </c>
      <c r="G27" t="s">
        <v>135</v>
      </c>
      <c r="H27" t="s">
        <v>202</v>
      </c>
      <c r="I27" t="s">
        <v>69</v>
      </c>
      <c r="J27" t="s">
        <v>203</v>
      </c>
      <c r="K27" t="s">
        <v>44</v>
      </c>
      <c r="L27" t="s">
        <v>204</v>
      </c>
      <c r="M27" t="s">
        <v>56</v>
      </c>
      <c r="N27" t="s">
        <v>143</v>
      </c>
      <c r="O27" t="s">
        <v>138</v>
      </c>
      <c r="P27" t="s">
        <v>169</v>
      </c>
      <c r="Q27" t="s">
        <v>94</v>
      </c>
      <c r="R27" t="s">
        <v>114</v>
      </c>
      <c r="S27" t="s">
        <v>96</v>
      </c>
      <c r="T27" t="s">
        <v>143</v>
      </c>
      <c r="U27" t="s">
        <v>118</v>
      </c>
      <c r="V27" t="s">
        <v>124</v>
      </c>
      <c r="W27" t="s">
        <v>135</v>
      </c>
      <c r="X27" t="s">
        <v>62</v>
      </c>
      <c r="Y27" t="s">
        <v>100</v>
      </c>
      <c r="Z27" t="s">
        <v>122</v>
      </c>
      <c r="AA27" t="s">
        <v>119</v>
      </c>
      <c r="AB27" t="s">
        <v>105</v>
      </c>
      <c r="AC27" t="s">
        <v>196</v>
      </c>
      <c r="AD27" t="s">
        <v>115</v>
      </c>
    </row>
    <row r="28" spans="1:30" x14ac:dyDescent="0.35">
      <c r="A28" t="s">
        <v>73</v>
      </c>
      <c r="B28">
        <v>2013</v>
      </c>
      <c r="C28" t="s">
        <v>197</v>
      </c>
      <c r="D28" t="s">
        <v>177</v>
      </c>
      <c r="E28" t="s">
        <v>95</v>
      </c>
      <c r="F28" t="s">
        <v>144</v>
      </c>
      <c r="G28" t="s">
        <v>55</v>
      </c>
      <c r="H28" t="s">
        <v>102</v>
      </c>
      <c r="I28" t="s">
        <v>75</v>
      </c>
      <c r="J28" t="s">
        <v>172</v>
      </c>
      <c r="K28" t="s">
        <v>92</v>
      </c>
      <c r="L28" t="s">
        <v>40</v>
      </c>
      <c r="M28" t="s">
        <v>104</v>
      </c>
      <c r="N28" t="s">
        <v>161</v>
      </c>
      <c r="O28" t="s">
        <v>126</v>
      </c>
      <c r="P28" t="s">
        <v>186</v>
      </c>
      <c r="Q28" t="s">
        <v>205</v>
      </c>
      <c r="R28" t="s">
        <v>157</v>
      </c>
      <c r="S28" t="s">
        <v>100</v>
      </c>
      <c r="T28" t="s">
        <v>178</v>
      </c>
      <c r="U28" t="s">
        <v>118</v>
      </c>
      <c r="V28" t="s">
        <v>55</v>
      </c>
      <c r="W28" t="s">
        <v>135</v>
      </c>
      <c r="X28" t="s">
        <v>34</v>
      </c>
      <c r="Y28" t="s">
        <v>109</v>
      </c>
      <c r="Z28" t="s">
        <v>32</v>
      </c>
      <c r="AA28" t="s">
        <v>130</v>
      </c>
      <c r="AB28" t="s">
        <v>39</v>
      </c>
      <c r="AC28" t="s">
        <v>96</v>
      </c>
      <c r="AD28" t="s">
        <v>206</v>
      </c>
    </row>
    <row r="29" spans="1:30" x14ac:dyDescent="0.35">
      <c r="A29" t="s">
        <v>30</v>
      </c>
      <c r="B29">
        <v>2013</v>
      </c>
      <c r="C29" t="s">
        <v>207</v>
      </c>
      <c r="D29" t="s">
        <v>208</v>
      </c>
      <c r="E29" t="s">
        <v>138</v>
      </c>
      <c r="F29" t="s">
        <v>180</v>
      </c>
      <c r="G29" t="s">
        <v>174</v>
      </c>
      <c r="H29" t="s">
        <v>91</v>
      </c>
      <c r="I29" t="s">
        <v>115</v>
      </c>
      <c r="J29" t="s">
        <v>209</v>
      </c>
      <c r="K29" t="s">
        <v>104</v>
      </c>
      <c r="L29" t="s">
        <v>37</v>
      </c>
      <c r="M29" t="s">
        <v>111</v>
      </c>
      <c r="N29" t="s">
        <v>143</v>
      </c>
      <c r="O29" t="s">
        <v>160</v>
      </c>
      <c r="P29" t="s">
        <v>210</v>
      </c>
      <c r="Q29" t="s">
        <v>157</v>
      </c>
      <c r="R29" t="s">
        <v>211</v>
      </c>
      <c r="S29" t="s">
        <v>144</v>
      </c>
      <c r="T29" t="s">
        <v>127</v>
      </c>
      <c r="U29" t="s">
        <v>48</v>
      </c>
      <c r="V29" t="s">
        <v>133</v>
      </c>
      <c r="W29" t="s">
        <v>100</v>
      </c>
      <c r="X29" t="s">
        <v>121</v>
      </c>
      <c r="Y29" t="s">
        <v>145</v>
      </c>
      <c r="Z29" t="s">
        <v>104</v>
      </c>
      <c r="AA29" t="s">
        <v>88</v>
      </c>
      <c r="AB29" t="s">
        <v>32</v>
      </c>
      <c r="AC29" t="s">
        <v>56</v>
      </c>
      <c r="AD29" t="s">
        <v>212</v>
      </c>
    </row>
    <row r="30" spans="1:30" x14ac:dyDescent="0.35">
      <c r="A30" t="s">
        <v>54</v>
      </c>
      <c r="B30">
        <v>2013</v>
      </c>
      <c r="C30" t="s">
        <v>207</v>
      </c>
      <c r="D30" t="s">
        <v>213</v>
      </c>
      <c r="E30" t="s">
        <v>214</v>
      </c>
      <c r="F30" t="s">
        <v>215</v>
      </c>
      <c r="G30" t="s">
        <v>100</v>
      </c>
      <c r="H30" t="s">
        <v>59</v>
      </c>
      <c r="I30" t="s">
        <v>80</v>
      </c>
      <c r="J30" t="s">
        <v>216</v>
      </c>
      <c r="K30" t="s">
        <v>102</v>
      </c>
      <c r="L30" t="s">
        <v>217</v>
      </c>
      <c r="M30" t="s">
        <v>135</v>
      </c>
      <c r="N30" t="s">
        <v>114</v>
      </c>
      <c r="O30" t="s">
        <v>218</v>
      </c>
      <c r="P30" t="s">
        <v>219</v>
      </c>
      <c r="Q30" t="s">
        <v>220</v>
      </c>
      <c r="R30" t="s">
        <v>153</v>
      </c>
      <c r="S30" t="s">
        <v>118</v>
      </c>
      <c r="T30" t="s">
        <v>205</v>
      </c>
      <c r="U30" t="s">
        <v>55</v>
      </c>
      <c r="V30" t="s">
        <v>118</v>
      </c>
      <c r="W30" t="s">
        <v>88</v>
      </c>
      <c r="X30" t="s">
        <v>111</v>
      </c>
      <c r="Y30" t="s">
        <v>118</v>
      </c>
      <c r="Z30" t="s">
        <v>125</v>
      </c>
      <c r="AA30" t="s">
        <v>142</v>
      </c>
      <c r="AB30" t="s">
        <v>75</v>
      </c>
      <c r="AC30" t="s">
        <v>196</v>
      </c>
      <c r="AD30" t="s">
        <v>170</v>
      </c>
    </row>
    <row r="31" spans="1:30" x14ac:dyDescent="0.35">
      <c r="A31" t="s">
        <v>73</v>
      </c>
      <c r="B31">
        <v>2013</v>
      </c>
      <c r="C31" t="s">
        <v>207</v>
      </c>
      <c r="D31" t="s">
        <v>221</v>
      </c>
      <c r="E31" t="s">
        <v>208</v>
      </c>
      <c r="F31" t="s">
        <v>222</v>
      </c>
      <c r="G31" t="s">
        <v>119</v>
      </c>
      <c r="H31" t="s">
        <v>90</v>
      </c>
      <c r="I31" t="s">
        <v>109</v>
      </c>
      <c r="J31" t="s">
        <v>223</v>
      </c>
      <c r="K31" t="s">
        <v>75</v>
      </c>
      <c r="L31" t="s">
        <v>81</v>
      </c>
      <c r="M31" t="s">
        <v>87</v>
      </c>
      <c r="N31" t="s">
        <v>119</v>
      </c>
      <c r="O31" t="s">
        <v>138</v>
      </c>
      <c r="P31" t="s">
        <v>224</v>
      </c>
      <c r="Q31" t="s">
        <v>153</v>
      </c>
      <c r="R31" t="s">
        <v>115</v>
      </c>
      <c r="S31" t="s">
        <v>119</v>
      </c>
      <c r="T31" t="s">
        <v>101</v>
      </c>
      <c r="U31" t="s">
        <v>55</v>
      </c>
      <c r="V31" t="s">
        <v>134</v>
      </c>
      <c r="W31" t="s">
        <v>164</v>
      </c>
      <c r="X31" t="s">
        <v>137</v>
      </c>
      <c r="Y31" t="s">
        <v>124</v>
      </c>
      <c r="Z31" t="s">
        <v>34</v>
      </c>
      <c r="AA31" t="s">
        <v>184</v>
      </c>
      <c r="AB31" t="s">
        <v>122</v>
      </c>
      <c r="AC31" t="s">
        <v>86</v>
      </c>
      <c r="AD31" t="s">
        <v>176</v>
      </c>
    </row>
    <row r="32" spans="1:30" x14ac:dyDescent="0.35">
      <c r="A32" t="s">
        <v>30</v>
      </c>
      <c r="B32">
        <v>2013</v>
      </c>
      <c r="C32" t="s">
        <v>225</v>
      </c>
      <c r="D32" t="s">
        <v>226</v>
      </c>
      <c r="E32" t="s">
        <v>160</v>
      </c>
      <c r="F32" t="s">
        <v>227</v>
      </c>
      <c r="G32" t="s">
        <v>101</v>
      </c>
      <c r="H32" t="s">
        <v>121</v>
      </c>
      <c r="I32" t="s">
        <v>195</v>
      </c>
      <c r="J32" t="s">
        <v>228</v>
      </c>
      <c r="K32" t="s">
        <v>56</v>
      </c>
      <c r="L32" t="s">
        <v>58</v>
      </c>
      <c r="M32" t="s">
        <v>96</v>
      </c>
      <c r="N32" t="s">
        <v>229</v>
      </c>
      <c r="O32" t="s">
        <v>218</v>
      </c>
      <c r="P32" t="s">
        <v>230</v>
      </c>
      <c r="Q32" t="s">
        <v>101</v>
      </c>
      <c r="R32" t="s">
        <v>126</v>
      </c>
      <c r="S32" t="s">
        <v>166</v>
      </c>
      <c r="T32" t="s">
        <v>231</v>
      </c>
      <c r="U32" t="s">
        <v>48</v>
      </c>
      <c r="V32" t="s">
        <v>180</v>
      </c>
      <c r="W32" t="s">
        <v>142</v>
      </c>
      <c r="X32" t="s">
        <v>118</v>
      </c>
      <c r="Y32" t="s">
        <v>135</v>
      </c>
      <c r="Z32" t="s">
        <v>87</v>
      </c>
      <c r="AA32" t="s">
        <v>149</v>
      </c>
      <c r="AB32" t="s">
        <v>111</v>
      </c>
      <c r="AC32" t="s">
        <v>117</v>
      </c>
      <c r="AD32" t="s">
        <v>232</v>
      </c>
    </row>
    <row r="33" spans="1:30" x14ac:dyDescent="0.35">
      <c r="A33" t="s">
        <v>54</v>
      </c>
      <c r="B33">
        <v>2013</v>
      </c>
      <c r="C33" t="s">
        <v>233</v>
      </c>
      <c r="D33" t="s">
        <v>210</v>
      </c>
      <c r="E33" t="s">
        <v>208</v>
      </c>
      <c r="F33" t="s">
        <v>234</v>
      </c>
      <c r="G33" t="s">
        <v>205</v>
      </c>
      <c r="H33" t="s">
        <v>69</v>
      </c>
      <c r="I33" t="s">
        <v>76</v>
      </c>
      <c r="J33" t="s">
        <v>235</v>
      </c>
      <c r="K33" t="s">
        <v>33</v>
      </c>
      <c r="L33" t="s">
        <v>236</v>
      </c>
      <c r="M33" t="s">
        <v>164</v>
      </c>
      <c r="N33" t="s">
        <v>229</v>
      </c>
      <c r="O33" t="s">
        <v>221</v>
      </c>
      <c r="P33" t="s">
        <v>237</v>
      </c>
      <c r="Q33" t="s">
        <v>238</v>
      </c>
      <c r="R33" t="s">
        <v>220</v>
      </c>
      <c r="S33" t="s">
        <v>164</v>
      </c>
      <c r="T33" t="s">
        <v>57</v>
      </c>
      <c r="U33" t="s">
        <v>143</v>
      </c>
      <c r="V33" t="s">
        <v>76</v>
      </c>
      <c r="W33" t="s">
        <v>134</v>
      </c>
      <c r="X33" t="s">
        <v>137</v>
      </c>
      <c r="Y33" t="s">
        <v>124</v>
      </c>
      <c r="Z33" t="s">
        <v>131</v>
      </c>
      <c r="AA33" t="s">
        <v>142</v>
      </c>
      <c r="AB33" t="s">
        <v>62</v>
      </c>
      <c r="AC33" t="s">
        <v>135</v>
      </c>
      <c r="AD33" t="s">
        <v>158</v>
      </c>
    </row>
    <row r="34" spans="1:30" x14ac:dyDescent="0.35">
      <c r="A34" t="s">
        <v>73</v>
      </c>
      <c r="B34">
        <v>2013</v>
      </c>
      <c r="C34" t="s">
        <v>233</v>
      </c>
      <c r="D34" t="s">
        <v>214</v>
      </c>
      <c r="E34" t="s">
        <v>138</v>
      </c>
      <c r="F34" t="s">
        <v>239</v>
      </c>
      <c r="G34" t="s">
        <v>153</v>
      </c>
      <c r="H34" t="s">
        <v>39</v>
      </c>
      <c r="I34" t="s">
        <v>220</v>
      </c>
      <c r="J34" t="s">
        <v>240</v>
      </c>
      <c r="K34" t="s">
        <v>111</v>
      </c>
      <c r="L34" t="s">
        <v>78</v>
      </c>
      <c r="M34" t="s">
        <v>196</v>
      </c>
      <c r="N34" t="s">
        <v>229</v>
      </c>
      <c r="O34" t="s">
        <v>241</v>
      </c>
      <c r="P34" t="s">
        <v>234</v>
      </c>
      <c r="Q34" t="s">
        <v>166</v>
      </c>
      <c r="R34" t="s">
        <v>139</v>
      </c>
      <c r="S34" t="s">
        <v>178</v>
      </c>
      <c r="T34" t="s">
        <v>159</v>
      </c>
      <c r="U34" t="s">
        <v>143</v>
      </c>
      <c r="V34" t="s">
        <v>133</v>
      </c>
      <c r="W34" t="s">
        <v>143</v>
      </c>
      <c r="X34" t="s">
        <v>145</v>
      </c>
      <c r="Y34" t="s">
        <v>124</v>
      </c>
      <c r="Z34" t="s">
        <v>137</v>
      </c>
      <c r="AA34" t="s">
        <v>119</v>
      </c>
      <c r="AB34" t="s">
        <v>34</v>
      </c>
      <c r="AC34" t="s">
        <v>118</v>
      </c>
      <c r="AD34" t="s">
        <v>208</v>
      </c>
    </row>
    <row r="35" spans="1:30" x14ac:dyDescent="0.35">
      <c r="A35" t="s">
        <v>30</v>
      </c>
      <c r="B35">
        <v>2013</v>
      </c>
      <c r="C35" t="s">
        <v>242</v>
      </c>
      <c r="D35" t="s">
        <v>243</v>
      </c>
      <c r="E35" t="s">
        <v>244</v>
      </c>
      <c r="F35" t="s">
        <v>187</v>
      </c>
      <c r="G35" t="s">
        <v>159</v>
      </c>
      <c r="H35" t="s">
        <v>124</v>
      </c>
      <c r="I35" t="s">
        <v>212</v>
      </c>
      <c r="J35" t="s">
        <v>245</v>
      </c>
      <c r="K35" t="s">
        <v>124</v>
      </c>
      <c r="L35" t="s">
        <v>60</v>
      </c>
      <c r="M35" t="s">
        <v>117</v>
      </c>
      <c r="N35" t="s">
        <v>147</v>
      </c>
      <c r="O35" t="s">
        <v>246</v>
      </c>
      <c r="P35" t="s">
        <v>239</v>
      </c>
      <c r="Q35" t="s">
        <v>211</v>
      </c>
      <c r="R35" t="s">
        <v>247</v>
      </c>
      <c r="S35" t="s">
        <v>170</v>
      </c>
      <c r="T35" t="s">
        <v>212</v>
      </c>
      <c r="U35" t="s">
        <v>48</v>
      </c>
      <c r="V35" t="s">
        <v>101</v>
      </c>
      <c r="W35" t="s">
        <v>147</v>
      </c>
      <c r="X35" t="s">
        <v>175</v>
      </c>
      <c r="Y35" t="s">
        <v>109</v>
      </c>
      <c r="Z35" t="s">
        <v>86</v>
      </c>
      <c r="AA35" t="s">
        <v>133</v>
      </c>
      <c r="AB35" t="s">
        <v>34</v>
      </c>
      <c r="AC35" t="s">
        <v>175</v>
      </c>
      <c r="AD35" t="s">
        <v>212</v>
      </c>
    </row>
    <row r="36" spans="1:30" x14ac:dyDescent="0.35">
      <c r="A36" t="s">
        <v>54</v>
      </c>
      <c r="B36">
        <v>2013</v>
      </c>
      <c r="C36" t="s">
        <v>242</v>
      </c>
      <c r="D36" t="s">
        <v>248</v>
      </c>
      <c r="E36" t="s">
        <v>214</v>
      </c>
      <c r="F36" t="s">
        <v>249</v>
      </c>
      <c r="G36" t="s">
        <v>101</v>
      </c>
      <c r="H36" t="s">
        <v>51</v>
      </c>
      <c r="I36" t="s">
        <v>161</v>
      </c>
      <c r="J36" t="s">
        <v>250</v>
      </c>
      <c r="K36" t="s">
        <v>92</v>
      </c>
      <c r="L36" t="s">
        <v>251</v>
      </c>
      <c r="M36" t="s">
        <v>178</v>
      </c>
      <c r="N36" t="s">
        <v>147</v>
      </c>
      <c r="O36" t="s">
        <v>214</v>
      </c>
      <c r="P36" t="s">
        <v>168</v>
      </c>
      <c r="Q36" t="s">
        <v>158</v>
      </c>
      <c r="R36" t="s">
        <v>139</v>
      </c>
      <c r="S36" t="s">
        <v>134</v>
      </c>
      <c r="T36" t="s">
        <v>206</v>
      </c>
      <c r="U36" t="s">
        <v>161</v>
      </c>
      <c r="V36" t="s">
        <v>100</v>
      </c>
      <c r="W36" t="s">
        <v>142</v>
      </c>
      <c r="X36" t="s">
        <v>96</v>
      </c>
      <c r="Y36" t="s">
        <v>118</v>
      </c>
      <c r="Z36" t="s">
        <v>121</v>
      </c>
      <c r="AA36" t="s">
        <v>114</v>
      </c>
      <c r="AB36" t="s">
        <v>91</v>
      </c>
      <c r="AC36" t="s">
        <v>117</v>
      </c>
      <c r="AD36" t="s">
        <v>222</v>
      </c>
    </row>
    <row r="37" spans="1:30" x14ac:dyDescent="0.35">
      <c r="A37" t="s">
        <v>73</v>
      </c>
      <c r="B37">
        <v>2013</v>
      </c>
      <c r="C37" t="s">
        <v>242</v>
      </c>
      <c r="D37" t="s">
        <v>201</v>
      </c>
      <c r="E37" t="s">
        <v>252</v>
      </c>
      <c r="F37" t="s">
        <v>253</v>
      </c>
      <c r="G37" t="s">
        <v>127</v>
      </c>
      <c r="H37" t="s">
        <v>75</v>
      </c>
      <c r="I37" t="s">
        <v>222</v>
      </c>
      <c r="J37" t="s">
        <v>254</v>
      </c>
      <c r="K37" t="s">
        <v>87</v>
      </c>
      <c r="L37" t="s">
        <v>140</v>
      </c>
      <c r="M37" t="s">
        <v>55</v>
      </c>
      <c r="N37" t="s">
        <v>147</v>
      </c>
      <c r="O37" t="s">
        <v>232</v>
      </c>
      <c r="P37" t="s">
        <v>243</v>
      </c>
      <c r="Q37" t="s">
        <v>170</v>
      </c>
      <c r="R37" t="s">
        <v>255</v>
      </c>
      <c r="S37" t="s">
        <v>188</v>
      </c>
      <c r="T37" t="s">
        <v>176</v>
      </c>
      <c r="U37" t="s">
        <v>161</v>
      </c>
      <c r="V37" t="s">
        <v>178</v>
      </c>
      <c r="W37" t="s">
        <v>174</v>
      </c>
      <c r="X37" t="s">
        <v>118</v>
      </c>
      <c r="Y37" t="s">
        <v>117</v>
      </c>
      <c r="Z37" t="s">
        <v>96</v>
      </c>
      <c r="AA37" t="s">
        <v>256</v>
      </c>
      <c r="AB37" t="s">
        <v>62</v>
      </c>
      <c r="AC37" t="s">
        <v>76</v>
      </c>
      <c r="AD37" t="s">
        <v>215</v>
      </c>
    </row>
    <row r="38" spans="1:30" x14ac:dyDescent="0.35">
      <c r="A38" t="s">
        <v>30</v>
      </c>
      <c r="B38">
        <v>2014</v>
      </c>
      <c r="C38" t="s">
        <v>31</v>
      </c>
      <c r="D38" t="s">
        <v>213</v>
      </c>
      <c r="E38" t="s">
        <v>221</v>
      </c>
      <c r="F38" t="s">
        <v>248</v>
      </c>
      <c r="G38" t="s">
        <v>231</v>
      </c>
      <c r="H38" t="s">
        <v>96</v>
      </c>
      <c r="I38" t="s">
        <v>212</v>
      </c>
      <c r="J38" t="s">
        <v>257</v>
      </c>
      <c r="K38" t="s">
        <v>135</v>
      </c>
      <c r="L38" t="s">
        <v>61</v>
      </c>
      <c r="M38" t="s">
        <v>88</v>
      </c>
      <c r="N38" t="s">
        <v>155</v>
      </c>
      <c r="O38" t="s">
        <v>226</v>
      </c>
      <c r="P38" t="s">
        <v>218</v>
      </c>
      <c r="Q38" t="s">
        <v>170</v>
      </c>
      <c r="R38" t="s">
        <v>241</v>
      </c>
      <c r="S38" t="s">
        <v>215</v>
      </c>
      <c r="T38" t="s">
        <v>227</v>
      </c>
      <c r="U38" t="s">
        <v>48</v>
      </c>
      <c r="V38" t="s">
        <v>57</v>
      </c>
      <c r="W38" t="s">
        <v>180</v>
      </c>
      <c r="X38" t="s">
        <v>130</v>
      </c>
      <c r="Y38" t="s">
        <v>55</v>
      </c>
      <c r="Z38" t="s">
        <v>135</v>
      </c>
      <c r="AA38" t="s">
        <v>229</v>
      </c>
      <c r="AB38" t="s">
        <v>104</v>
      </c>
      <c r="AC38" t="s">
        <v>130</v>
      </c>
      <c r="AD38" t="s">
        <v>139</v>
      </c>
    </row>
    <row r="39" spans="1:30" x14ac:dyDescent="0.35">
      <c r="A39" t="s">
        <v>54</v>
      </c>
      <c r="B39">
        <v>2014</v>
      </c>
      <c r="C39" t="s">
        <v>31</v>
      </c>
      <c r="D39" t="s">
        <v>258</v>
      </c>
      <c r="E39" t="s">
        <v>259</v>
      </c>
      <c r="F39" t="s">
        <v>260</v>
      </c>
      <c r="G39" t="s">
        <v>211</v>
      </c>
      <c r="H39" t="s">
        <v>60</v>
      </c>
      <c r="I39" t="s">
        <v>147</v>
      </c>
      <c r="J39" t="s">
        <v>213</v>
      </c>
      <c r="K39" t="s">
        <v>32</v>
      </c>
      <c r="L39" t="s">
        <v>261</v>
      </c>
      <c r="M39" t="s">
        <v>188</v>
      </c>
      <c r="N39" t="s">
        <v>147</v>
      </c>
      <c r="O39" t="s">
        <v>262</v>
      </c>
      <c r="P39" t="s">
        <v>212</v>
      </c>
      <c r="Q39" t="s">
        <v>198</v>
      </c>
      <c r="R39" t="s">
        <v>176</v>
      </c>
      <c r="S39" t="s">
        <v>142</v>
      </c>
      <c r="T39" t="s">
        <v>183</v>
      </c>
      <c r="U39" t="s">
        <v>133</v>
      </c>
      <c r="V39" t="s">
        <v>149</v>
      </c>
      <c r="W39" t="s">
        <v>178</v>
      </c>
      <c r="X39" t="s">
        <v>118</v>
      </c>
      <c r="Y39" t="s">
        <v>184</v>
      </c>
      <c r="Z39" t="s">
        <v>117</v>
      </c>
      <c r="AA39" t="s">
        <v>256</v>
      </c>
      <c r="AB39" t="s">
        <v>125</v>
      </c>
      <c r="AC39" t="s">
        <v>55</v>
      </c>
      <c r="AD39" t="s">
        <v>94</v>
      </c>
    </row>
    <row r="40" spans="1:30" x14ac:dyDescent="0.35">
      <c r="A40" t="s">
        <v>73</v>
      </c>
      <c r="B40">
        <v>2014</v>
      </c>
      <c r="C40" t="s">
        <v>31</v>
      </c>
      <c r="D40" t="s">
        <v>191</v>
      </c>
      <c r="E40" t="s">
        <v>263</v>
      </c>
      <c r="F40" t="s">
        <v>264</v>
      </c>
      <c r="G40" t="s">
        <v>238</v>
      </c>
      <c r="H40" t="s">
        <v>39</v>
      </c>
      <c r="I40" t="s">
        <v>113</v>
      </c>
      <c r="J40" t="s">
        <v>265</v>
      </c>
      <c r="K40" t="s">
        <v>121</v>
      </c>
      <c r="L40" t="s">
        <v>217</v>
      </c>
      <c r="M40" t="s">
        <v>149</v>
      </c>
      <c r="N40" t="s">
        <v>144</v>
      </c>
      <c r="O40" t="s">
        <v>214</v>
      </c>
      <c r="P40" t="s">
        <v>247</v>
      </c>
      <c r="Q40" t="s">
        <v>215</v>
      </c>
      <c r="R40" t="s">
        <v>247</v>
      </c>
      <c r="S40" t="s">
        <v>115</v>
      </c>
      <c r="T40" t="s">
        <v>138</v>
      </c>
      <c r="U40" t="s">
        <v>133</v>
      </c>
      <c r="V40" t="s">
        <v>157</v>
      </c>
      <c r="W40" t="s">
        <v>144</v>
      </c>
      <c r="X40" t="s">
        <v>164</v>
      </c>
      <c r="Y40" t="s">
        <v>161</v>
      </c>
      <c r="Z40" t="s">
        <v>118</v>
      </c>
      <c r="AA40" t="s">
        <v>133</v>
      </c>
      <c r="AB40" t="s">
        <v>111</v>
      </c>
      <c r="AC40" t="s">
        <v>130</v>
      </c>
      <c r="AD40" t="s">
        <v>211</v>
      </c>
    </row>
    <row r="41" spans="1:30" x14ac:dyDescent="0.35">
      <c r="A41" t="s">
        <v>30</v>
      </c>
      <c r="B41">
        <v>2014</v>
      </c>
      <c r="C41" t="s">
        <v>85</v>
      </c>
      <c r="D41" t="s">
        <v>266</v>
      </c>
      <c r="E41" t="s">
        <v>267</v>
      </c>
      <c r="F41" t="s">
        <v>258</v>
      </c>
      <c r="G41" t="s">
        <v>158</v>
      </c>
      <c r="H41" t="s">
        <v>96</v>
      </c>
      <c r="I41" t="s">
        <v>195</v>
      </c>
      <c r="J41" t="s">
        <v>218</v>
      </c>
      <c r="K41" t="s">
        <v>117</v>
      </c>
      <c r="L41" t="s">
        <v>171</v>
      </c>
      <c r="M41" t="s">
        <v>100</v>
      </c>
      <c r="N41" t="s">
        <v>94</v>
      </c>
      <c r="O41" t="s">
        <v>168</v>
      </c>
      <c r="P41" t="s">
        <v>268</v>
      </c>
      <c r="Q41" t="s">
        <v>139</v>
      </c>
      <c r="R41" t="s">
        <v>221</v>
      </c>
      <c r="S41" t="s">
        <v>215</v>
      </c>
      <c r="T41" t="s">
        <v>252</v>
      </c>
      <c r="U41" t="s">
        <v>48</v>
      </c>
      <c r="V41" t="s">
        <v>115</v>
      </c>
      <c r="W41" t="s">
        <v>94</v>
      </c>
      <c r="X41" t="s">
        <v>134</v>
      </c>
      <c r="Y41" t="s">
        <v>184</v>
      </c>
      <c r="Z41" t="s">
        <v>109</v>
      </c>
      <c r="AA41" t="s">
        <v>205</v>
      </c>
      <c r="AB41" t="s">
        <v>87</v>
      </c>
      <c r="AC41" t="s">
        <v>134</v>
      </c>
      <c r="AD41" t="s">
        <v>170</v>
      </c>
    </row>
    <row r="42" spans="1:30" x14ac:dyDescent="0.35">
      <c r="A42" t="s">
        <v>54</v>
      </c>
      <c r="B42">
        <v>2014</v>
      </c>
      <c r="C42" t="s">
        <v>85</v>
      </c>
      <c r="D42" t="s">
        <v>269</v>
      </c>
      <c r="E42" t="s">
        <v>259</v>
      </c>
      <c r="F42" t="s">
        <v>270</v>
      </c>
      <c r="G42" t="s">
        <v>255</v>
      </c>
      <c r="H42" t="s">
        <v>150</v>
      </c>
      <c r="I42" t="s">
        <v>238</v>
      </c>
      <c r="J42" t="s">
        <v>256</v>
      </c>
      <c r="K42" t="s">
        <v>111</v>
      </c>
      <c r="L42" t="s">
        <v>271</v>
      </c>
      <c r="M42" t="s">
        <v>220</v>
      </c>
      <c r="N42" t="s">
        <v>147</v>
      </c>
      <c r="O42" t="s">
        <v>272</v>
      </c>
      <c r="P42" t="s">
        <v>255</v>
      </c>
      <c r="Q42" t="s">
        <v>227</v>
      </c>
      <c r="R42" t="s">
        <v>268</v>
      </c>
      <c r="S42" t="s">
        <v>174</v>
      </c>
      <c r="T42" t="s">
        <v>181</v>
      </c>
      <c r="U42" t="s">
        <v>153</v>
      </c>
      <c r="V42" t="s">
        <v>143</v>
      </c>
      <c r="W42" t="s">
        <v>180</v>
      </c>
      <c r="X42" t="s">
        <v>100</v>
      </c>
      <c r="Y42" t="s">
        <v>142</v>
      </c>
      <c r="Z42" t="s">
        <v>164</v>
      </c>
      <c r="AA42" t="s">
        <v>133</v>
      </c>
      <c r="AB42" t="s">
        <v>87</v>
      </c>
      <c r="AC42" t="s">
        <v>149</v>
      </c>
      <c r="AD42" t="s">
        <v>166</v>
      </c>
    </row>
    <row r="43" spans="1:30" x14ac:dyDescent="0.35">
      <c r="A43" t="s">
        <v>73</v>
      </c>
      <c r="B43">
        <v>2014</v>
      </c>
      <c r="C43" t="s">
        <v>85</v>
      </c>
      <c r="D43" t="s">
        <v>224</v>
      </c>
      <c r="E43" t="s">
        <v>169</v>
      </c>
      <c r="F43" t="s">
        <v>230</v>
      </c>
      <c r="G43" t="s">
        <v>273</v>
      </c>
      <c r="H43" t="s">
        <v>98</v>
      </c>
      <c r="I43" t="s">
        <v>138</v>
      </c>
      <c r="J43" t="s">
        <v>215</v>
      </c>
      <c r="K43" t="s">
        <v>145</v>
      </c>
      <c r="L43" t="s">
        <v>274</v>
      </c>
      <c r="M43" t="s">
        <v>114</v>
      </c>
      <c r="N43" t="s">
        <v>180</v>
      </c>
      <c r="O43" t="s">
        <v>263</v>
      </c>
      <c r="P43" t="s">
        <v>268</v>
      </c>
      <c r="Q43" t="s">
        <v>181</v>
      </c>
      <c r="R43" t="s">
        <v>177</v>
      </c>
      <c r="S43" t="s">
        <v>222</v>
      </c>
      <c r="T43" t="s">
        <v>244</v>
      </c>
      <c r="U43" t="s">
        <v>153</v>
      </c>
      <c r="V43" t="s">
        <v>155</v>
      </c>
      <c r="W43" t="s">
        <v>101</v>
      </c>
      <c r="X43" t="s">
        <v>161</v>
      </c>
      <c r="Y43" t="s">
        <v>143</v>
      </c>
      <c r="Z43" t="s">
        <v>175</v>
      </c>
      <c r="AA43" t="s">
        <v>229</v>
      </c>
      <c r="AB43" t="s">
        <v>87</v>
      </c>
      <c r="AC43" t="s">
        <v>134</v>
      </c>
      <c r="AD43" t="s">
        <v>211</v>
      </c>
    </row>
    <row r="44" spans="1:30" x14ac:dyDescent="0.35">
      <c r="A44" t="s">
        <v>30</v>
      </c>
      <c r="B44">
        <v>2014</v>
      </c>
      <c r="C44" t="s">
        <v>107</v>
      </c>
      <c r="D44" t="s">
        <v>152</v>
      </c>
      <c r="E44" t="s">
        <v>214</v>
      </c>
      <c r="F44" t="s">
        <v>275</v>
      </c>
      <c r="G44" t="s">
        <v>276</v>
      </c>
      <c r="H44" t="s">
        <v>145</v>
      </c>
      <c r="I44" t="s">
        <v>191</v>
      </c>
      <c r="J44" t="s">
        <v>277</v>
      </c>
      <c r="K44" t="s">
        <v>88</v>
      </c>
      <c r="L44" t="s">
        <v>278</v>
      </c>
      <c r="M44" t="s">
        <v>161</v>
      </c>
      <c r="N44" t="s">
        <v>57</v>
      </c>
      <c r="O44" t="s">
        <v>186</v>
      </c>
      <c r="P44" t="s">
        <v>227</v>
      </c>
      <c r="Q44" t="s">
        <v>126</v>
      </c>
      <c r="R44" t="s">
        <v>173</v>
      </c>
      <c r="S44" t="s">
        <v>160</v>
      </c>
      <c r="T44" t="s">
        <v>193</v>
      </c>
      <c r="U44" t="s">
        <v>48</v>
      </c>
      <c r="V44" t="s">
        <v>127</v>
      </c>
      <c r="W44" t="s">
        <v>127</v>
      </c>
      <c r="X44" t="s">
        <v>114</v>
      </c>
      <c r="Y44" t="s">
        <v>119</v>
      </c>
      <c r="Z44" t="s">
        <v>88</v>
      </c>
      <c r="AA44" t="s">
        <v>155</v>
      </c>
      <c r="AB44" t="s">
        <v>121</v>
      </c>
      <c r="AC44" t="s">
        <v>142</v>
      </c>
      <c r="AD44" t="s">
        <v>126</v>
      </c>
    </row>
    <row r="45" spans="1:30" x14ac:dyDescent="0.35">
      <c r="A45" t="s">
        <v>54</v>
      </c>
      <c r="B45">
        <v>2014</v>
      </c>
      <c r="C45" t="s">
        <v>107</v>
      </c>
      <c r="D45" t="s">
        <v>279</v>
      </c>
      <c r="E45" t="s">
        <v>280</v>
      </c>
      <c r="F45" t="s">
        <v>281</v>
      </c>
      <c r="G45" t="s">
        <v>227</v>
      </c>
      <c r="H45" t="s">
        <v>103</v>
      </c>
      <c r="I45" t="s">
        <v>267</v>
      </c>
      <c r="J45" t="s">
        <v>222</v>
      </c>
      <c r="K45" t="s">
        <v>121</v>
      </c>
      <c r="L45" t="s">
        <v>282</v>
      </c>
      <c r="M45" t="s">
        <v>238</v>
      </c>
      <c r="N45" t="s">
        <v>157</v>
      </c>
      <c r="O45" t="s">
        <v>248</v>
      </c>
      <c r="P45" t="s">
        <v>218</v>
      </c>
      <c r="Q45" t="s">
        <v>252</v>
      </c>
      <c r="R45" t="s">
        <v>247</v>
      </c>
      <c r="S45" t="s">
        <v>147</v>
      </c>
      <c r="T45" t="s">
        <v>255</v>
      </c>
      <c r="U45" t="s">
        <v>115</v>
      </c>
      <c r="V45" t="s">
        <v>134</v>
      </c>
      <c r="W45" t="s">
        <v>57</v>
      </c>
      <c r="X45" t="s">
        <v>184</v>
      </c>
      <c r="Y45" t="s">
        <v>133</v>
      </c>
      <c r="Z45" t="s">
        <v>134</v>
      </c>
      <c r="AA45" t="s">
        <v>229</v>
      </c>
      <c r="AB45" t="s">
        <v>86</v>
      </c>
      <c r="AC45" t="s">
        <v>114</v>
      </c>
      <c r="AD45" t="s">
        <v>206</v>
      </c>
    </row>
    <row r="46" spans="1:30" x14ac:dyDescent="0.35">
      <c r="A46" t="s">
        <v>73</v>
      </c>
      <c r="B46">
        <v>2014</v>
      </c>
      <c r="C46" t="s">
        <v>283</v>
      </c>
      <c r="D46" t="s">
        <v>275</v>
      </c>
      <c r="E46" t="s">
        <v>284</v>
      </c>
      <c r="F46" t="s">
        <v>285</v>
      </c>
      <c r="G46" t="s">
        <v>276</v>
      </c>
      <c r="H46" t="s">
        <v>105</v>
      </c>
      <c r="I46" t="s">
        <v>239</v>
      </c>
      <c r="J46" t="s">
        <v>208</v>
      </c>
      <c r="K46" t="s">
        <v>117</v>
      </c>
      <c r="L46" t="s">
        <v>286</v>
      </c>
      <c r="M46" t="s">
        <v>229</v>
      </c>
      <c r="N46" t="s">
        <v>188</v>
      </c>
      <c r="O46" t="s">
        <v>284</v>
      </c>
      <c r="P46" t="s">
        <v>276</v>
      </c>
      <c r="Q46" t="s">
        <v>255</v>
      </c>
      <c r="R46" t="s">
        <v>246</v>
      </c>
      <c r="S46" t="s">
        <v>206</v>
      </c>
      <c r="T46" t="s">
        <v>177</v>
      </c>
      <c r="U46" t="s">
        <v>115</v>
      </c>
      <c r="V46" t="s">
        <v>153</v>
      </c>
      <c r="W46" t="s">
        <v>115</v>
      </c>
      <c r="X46" t="s">
        <v>119</v>
      </c>
      <c r="Y46" t="s">
        <v>114</v>
      </c>
      <c r="Z46" t="s">
        <v>130</v>
      </c>
      <c r="AA46" t="s">
        <v>205</v>
      </c>
      <c r="AB46" t="s">
        <v>96</v>
      </c>
      <c r="AC46" t="s">
        <v>142</v>
      </c>
      <c r="AD46" t="s">
        <v>139</v>
      </c>
    </row>
    <row r="47" spans="1:30" x14ac:dyDescent="0.35">
      <c r="A47" t="s">
        <v>30</v>
      </c>
      <c r="B47">
        <v>2014</v>
      </c>
      <c r="C47" t="s">
        <v>123</v>
      </c>
      <c r="D47" t="s">
        <v>224</v>
      </c>
      <c r="E47" t="s">
        <v>213</v>
      </c>
      <c r="F47" t="s">
        <v>214</v>
      </c>
      <c r="G47" t="s">
        <v>151</v>
      </c>
      <c r="H47" t="s">
        <v>118</v>
      </c>
      <c r="I47" t="s">
        <v>287</v>
      </c>
      <c r="J47" t="s">
        <v>248</v>
      </c>
      <c r="K47" t="s">
        <v>149</v>
      </c>
      <c r="L47" t="s">
        <v>116</v>
      </c>
      <c r="M47" t="s">
        <v>119</v>
      </c>
      <c r="N47" t="s">
        <v>220</v>
      </c>
      <c r="O47" t="s">
        <v>239</v>
      </c>
      <c r="P47" t="s">
        <v>193</v>
      </c>
      <c r="Q47" t="s">
        <v>138</v>
      </c>
      <c r="R47" t="s">
        <v>214</v>
      </c>
      <c r="S47" t="s">
        <v>276</v>
      </c>
      <c r="T47" t="s">
        <v>168</v>
      </c>
      <c r="U47" t="s">
        <v>48</v>
      </c>
      <c r="V47" t="s">
        <v>127</v>
      </c>
      <c r="W47" t="s">
        <v>206</v>
      </c>
      <c r="X47" t="s">
        <v>229</v>
      </c>
      <c r="Y47" t="s">
        <v>119</v>
      </c>
      <c r="Z47" t="s">
        <v>55</v>
      </c>
      <c r="AA47" t="s">
        <v>57</v>
      </c>
      <c r="AB47" t="s">
        <v>121</v>
      </c>
      <c r="AC47" t="s">
        <v>256</v>
      </c>
      <c r="AD47" t="s">
        <v>138</v>
      </c>
    </row>
    <row r="48" spans="1:30" x14ac:dyDescent="0.35">
      <c r="A48" t="s">
        <v>54</v>
      </c>
      <c r="B48">
        <v>2014</v>
      </c>
      <c r="C48" t="s">
        <v>123</v>
      </c>
      <c r="D48" t="s">
        <v>230</v>
      </c>
      <c r="E48" t="s">
        <v>288</v>
      </c>
      <c r="F48" t="s">
        <v>222</v>
      </c>
      <c r="G48" t="s">
        <v>151</v>
      </c>
      <c r="H48" t="s">
        <v>40</v>
      </c>
      <c r="I48" t="s">
        <v>162</v>
      </c>
      <c r="J48" t="s">
        <v>258</v>
      </c>
      <c r="K48" t="s">
        <v>149</v>
      </c>
      <c r="L48" t="s">
        <v>66</v>
      </c>
      <c r="M48" t="s">
        <v>268</v>
      </c>
      <c r="N48" t="s">
        <v>188</v>
      </c>
      <c r="O48" t="s">
        <v>285</v>
      </c>
      <c r="P48" t="s">
        <v>289</v>
      </c>
      <c r="Q48" t="s">
        <v>290</v>
      </c>
      <c r="R48" t="s">
        <v>208</v>
      </c>
      <c r="S48" t="s">
        <v>153</v>
      </c>
      <c r="T48" t="s">
        <v>198</v>
      </c>
      <c r="U48" t="s">
        <v>113</v>
      </c>
      <c r="V48" t="s">
        <v>134</v>
      </c>
      <c r="W48" t="s">
        <v>127</v>
      </c>
      <c r="X48" t="s">
        <v>149</v>
      </c>
      <c r="Y48" t="s">
        <v>119</v>
      </c>
      <c r="Z48" t="s">
        <v>119</v>
      </c>
      <c r="AA48" t="s">
        <v>153</v>
      </c>
      <c r="AB48" t="s">
        <v>56</v>
      </c>
      <c r="AC48" t="s">
        <v>114</v>
      </c>
      <c r="AD48" t="s">
        <v>181</v>
      </c>
    </row>
    <row r="49" spans="1:30" x14ac:dyDescent="0.35">
      <c r="A49" t="s">
        <v>73</v>
      </c>
      <c r="B49">
        <v>2014</v>
      </c>
      <c r="C49" t="s">
        <v>123</v>
      </c>
      <c r="D49" t="s">
        <v>291</v>
      </c>
      <c r="E49" t="s">
        <v>272</v>
      </c>
      <c r="F49" t="s">
        <v>227</v>
      </c>
      <c r="G49" t="s">
        <v>151</v>
      </c>
      <c r="H49" t="s">
        <v>75</v>
      </c>
      <c r="I49" t="s">
        <v>292</v>
      </c>
      <c r="J49" t="s">
        <v>275</v>
      </c>
      <c r="K49" t="s">
        <v>149</v>
      </c>
      <c r="L49" t="s">
        <v>61</v>
      </c>
      <c r="M49" t="s">
        <v>180</v>
      </c>
      <c r="N49" t="s">
        <v>115</v>
      </c>
      <c r="O49" t="s">
        <v>210</v>
      </c>
      <c r="P49" t="s">
        <v>290</v>
      </c>
      <c r="Q49" t="s">
        <v>218</v>
      </c>
      <c r="R49" t="s">
        <v>232</v>
      </c>
      <c r="S49" t="s">
        <v>126</v>
      </c>
      <c r="T49" t="s">
        <v>151</v>
      </c>
      <c r="U49" t="s">
        <v>113</v>
      </c>
      <c r="V49" t="s">
        <v>153</v>
      </c>
      <c r="W49" t="s">
        <v>211</v>
      </c>
      <c r="X49" t="s">
        <v>256</v>
      </c>
      <c r="Y49" t="s">
        <v>119</v>
      </c>
      <c r="Z49" t="s">
        <v>134</v>
      </c>
      <c r="AA49" t="s">
        <v>188</v>
      </c>
      <c r="AB49" t="s">
        <v>96</v>
      </c>
      <c r="AC49" t="s">
        <v>256</v>
      </c>
      <c r="AD49" t="s">
        <v>273</v>
      </c>
    </row>
    <row r="50" spans="1:30" x14ac:dyDescent="0.35">
      <c r="A50" t="s">
        <v>30</v>
      </c>
      <c r="B50">
        <v>2014</v>
      </c>
      <c r="C50" t="s">
        <v>136</v>
      </c>
      <c r="D50" t="s">
        <v>293</v>
      </c>
      <c r="E50" t="s">
        <v>224</v>
      </c>
      <c r="F50" t="s">
        <v>95</v>
      </c>
      <c r="G50" t="s">
        <v>148</v>
      </c>
      <c r="H50" t="s">
        <v>175</v>
      </c>
      <c r="I50" t="s">
        <v>294</v>
      </c>
      <c r="J50" t="s">
        <v>257</v>
      </c>
      <c r="K50" t="s">
        <v>256</v>
      </c>
      <c r="L50" t="s">
        <v>70</v>
      </c>
      <c r="M50" t="s">
        <v>133</v>
      </c>
      <c r="N50" t="s">
        <v>139</v>
      </c>
      <c r="O50" t="s">
        <v>169</v>
      </c>
      <c r="P50" t="s">
        <v>289</v>
      </c>
      <c r="Q50" t="s">
        <v>208</v>
      </c>
      <c r="R50" t="s">
        <v>239</v>
      </c>
      <c r="S50" t="s">
        <v>246</v>
      </c>
      <c r="T50" t="s">
        <v>295</v>
      </c>
      <c r="U50" t="s">
        <v>48</v>
      </c>
      <c r="V50" t="s">
        <v>127</v>
      </c>
      <c r="W50" t="s">
        <v>238</v>
      </c>
      <c r="X50" t="s">
        <v>147</v>
      </c>
      <c r="Y50" t="s">
        <v>114</v>
      </c>
      <c r="Z50" t="s">
        <v>134</v>
      </c>
      <c r="AA50" t="s">
        <v>166</v>
      </c>
      <c r="AB50" t="s">
        <v>121</v>
      </c>
      <c r="AC50" t="s">
        <v>229</v>
      </c>
      <c r="AD50" t="s">
        <v>218</v>
      </c>
    </row>
    <row r="51" spans="1:30" x14ac:dyDescent="0.35">
      <c r="A51" t="s">
        <v>54</v>
      </c>
      <c r="B51">
        <v>2014</v>
      </c>
      <c r="C51" t="s">
        <v>136</v>
      </c>
      <c r="D51" t="s">
        <v>296</v>
      </c>
      <c r="E51" t="s">
        <v>264</v>
      </c>
      <c r="F51" t="s">
        <v>139</v>
      </c>
      <c r="G51" t="s">
        <v>201</v>
      </c>
      <c r="H51" t="s">
        <v>70</v>
      </c>
      <c r="I51" t="s">
        <v>165</v>
      </c>
      <c r="J51" t="s">
        <v>297</v>
      </c>
      <c r="K51" t="s">
        <v>180</v>
      </c>
      <c r="L51" t="s">
        <v>154</v>
      </c>
      <c r="M51" t="s">
        <v>151</v>
      </c>
      <c r="N51" t="s">
        <v>94</v>
      </c>
      <c r="O51" t="s">
        <v>288</v>
      </c>
      <c r="P51" t="s">
        <v>298</v>
      </c>
      <c r="Q51" t="s">
        <v>186</v>
      </c>
      <c r="R51" t="s">
        <v>246</v>
      </c>
      <c r="S51" t="s">
        <v>94</v>
      </c>
      <c r="T51" t="s">
        <v>227</v>
      </c>
      <c r="U51" t="s">
        <v>183</v>
      </c>
      <c r="V51" t="s">
        <v>143</v>
      </c>
      <c r="W51" t="s">
        <v>238</v>
      </c>
      <c r="X51" t="s">
        <v>119</v>
      </c>
      <c r="Y51" t="s">
        <v>142</v>
      </c>
      <c r="Z51" t="s">
        <v>256</v>
      </c>
      <c r="AA51" t="s">
        <v>94</v>
      </c>
      <c r="AB51" t="s">
        <v>145</v>
      </c>
      <c r="AC51" t="s">
        <v>174</v>
      </c>
      <c r="AD51" t="s">
        <v>192</v>
      </c>
    </row>
    <row r="52" spans="1:30" x14ac:dyDescent="0.35">
      <c r="A52" t="s">
        <v>73</v>
      </c>
      <c r="B52">
        <v>2014</v>
      </c>
      <c r="C52" t="s">
        <v>136</v>
      </c>
      <c r="D52" t="s">
        <v>299</v>
      </c>
      <c r="E52" t="s">
        <v>300</v>
      </c>
      <c r="F52" t="s">
        <v>244</v>
      </c>
      <c r="G52" t="s">
        <v>243</v>
      </c>
      <c r="H52" t="s">
        <v>91</v>
      </c>
      <c r="I52" t="s">
        <v>301</v>
      </c>
      <c r="J52" t="s">
        <v>302</v>
      </c>
      <c r="K52" t="s">
        <v>178</v>
      </c>
      <c r="L52" t="s">
        <v>103</v>
      </c>
      <c r="M52" t="s">
        <v>127</v>
      </c>
      <c r="N52" t="s">
        <v>206</v>
      </c>
      <c r="O52" t="s">
        <v>187</v>
      </c>
      <c r="P52" t="s">
        <v>213</v>
      </c>
      <c r="Q52" t="s">
        <v>246</v>
      </c>
      <c r="R52" t="s">
        <v>148</v>
      </c>
      <c r="S52" t="s">
        <v>255</v>
      </c>
      <c r="T52" t="s">
        <v>290</v>
      </c>
      <c r="U52" t="s">
        <v>183</v>
      </c>
      <c r="V52" t="s">
        <v>153</v>
      </c>
      <c r="W52" t="s">
        <v>238</v>
      </c>
      <c r="X52" t="s">
        <v>229</v>
      </c>
      <c r="Y52" t="s">
        <v>142</v>
      </c>
      <c r="Z52" t="s">
        <v>119</v>
      </c>
      <c r="AA52" t="s">
        <v>57</v>
      </c>
      <c r="AB52" t="s">
        <v>56</v>
      </c>
      <c r="AC52" t="s">
        <v>229</v>
      </c>
      <c r="AD52" t="s">
        <v>247</v>
      </c>
    </row>
    <row r="53" spans="1:30" x14ac:dyDescent="0.35">
      <c r="A53" t="s">
        <v>30</v>
      </c>
      <c r="B53">
        <v>2014</v>
      </c>
      <c r="C53" t="s">
        <v>146</v>
      </c>
      <c r="D53" t="s">
        <v>275</v>
      </c>
      <c r="E53" t="s">
        <v>300</v>
      </c>
      <c r="F53" t="s">
        <v>276</v>
      </c>
      <c r="G53" t="s">
        <v>284</v>
      </c>
      <c r="H53" t="s">
        <v>164</v>
      </c>
      <c r="I53" t="s">
        <v>303</v>
      </c>
      <c r="J53" t="s">
        <v>304</v>
      </c>
      <c r="K53" t="s">
        <v>157</v>
      </c>
      <c r="L53" t="s">
        <v>58</v>
      </c>
      <c r="M53" t="s">
        <v>144</v>
      </c>
      <c r="N53" t="s">
        <v>160</v>
      </c>
      <c r="O53" t="s">
        <v>152</v>
      </c>
      <c r="P53" t="s">
        <v>305</v>
      </c>
      <c r="Q53" t="s">
        <v>226</v>
      </c>
      <c r="R53" t="s">
        <v>306</v>
      </c>
      <c r="S53" t="s">
        <v>226</v>
      </c>
      <c r="T53" t="s">
        <v>284</v>
      </c>
      <c r="U53" t="s">
        <v>48</v>
      </c>
      <c r="V53" t="s">
        <v>231</v>
      </c>
      <c r="W53" t="s">
        <v>160</v>
      </c>
      <c r="X53" t="s">
        <v>101</v>
      </c>
      <c r="Y53" t="s">
        <v>157</v>
      </c>
      <c r="Z53" t="s">
        <v>114</v>
      </c>
      <c r="AA53" t="s">
        <v>183</v>
      </c>
      <c r="AB53" t="s">
        <v>125</v>
      </c>
      <c r="AC53" t="s">
        <v>144</v>
      </c>
      <c r="AD53" t="s">
        <v>151</v>
      </c>
    </row>
    <row r="54" spans="1:30" x14ac:dyDescent="0.35">
      <c r="A54" t="s">
        <v>54</v>
      </c>
      <c r="B54">
        <v>2014</v>
      </c>
      <c r="C54" t="s">
        <v>146</v>
      </c>
      <c r="D54" t="s">
        <v>307</v>
      </c>
      <c r="E54" t="s">
        <v>308</v>
      </c>
      <c r="F54" t="s">
        <v>138</v>
      </c>
      <c r="G54" t="s">
        <v>187</v>
      </c>
      <c r="H54" t="s">
        <v>51</v>
      </c>
      <c r="I54" t="s">
        <v>309</v>
      </c>
      <c r="J54" t="s">
        <v>310</v>
      </c>
      <c r="K54" t="s">
        <v>101</v>
      </c>
      <c r="L54" t="s">
        <v>110</v>
      </c>
      <c r="M54" t="s">
        <v>186</v>
      </c>
      <c r="N54" t="s">
        <v>115</v>
      </c>
      <c r="O54" t="s">
        <v>311</v>
      </c>
      <c r="P54" t="s">
        <v>259</v>
      </c>
      <c r="Q54" t="s">
        <v>262</v>
      </c>
      <c r="R54" t="s">
        <v>232</v>
      </c>
      <c r="S54" t="s">
        <v>115</v>
      </c>
      <c r="T54" t="s">
        <v>252</v>
      </c>
      <c r="U54" t="s">
        <v>113</v>
      </c>
      <c r="V54" t="s">
        <v>119</v>
      </c>
      <c r="W54" t="s">
        <v>183</v>
      </c>
      <c r="X54" t="s">
        <v>114</v>
      </c>
      <c r="Y54" t="s">
        <v>256</v>
      </c>
      <c r="Z54" t="s">
        <v>229</v>
      </c>
      <c r="AA54" t="s">
        <v>273</v>
      </c>
      <c r="AB54" t="s">
        <v>87</v>
      </c>
      <c r="AC54" t="s">
        <v>157</v>
      </c>
      <c r="AD54" t="s">
        <v>177</v>
      </c>
    </row>
    <row r="55" spans="1:30" x14ac:dyDescent="0.35">
      <c r="A55" t="s">
        <v>73</v>
      </c>
      <c r="B55">
        <v>2014</v>
      </c>
      <c r="C55" t="s">
        <v>146</v>
      </c>
      <c r="D55" t="s">
        <v>281</v>
      </c>
      <c r="E55" t="s">
        <v>307</v>
      </c>
      <c r="F55" t="s">
        <v>247</v>
      </c>
      <c r="G55" t="s">
        <v>306</v>
      </c>
      <c r="H55" t="s">
        <v>167</v>
      </c>
      <c r="I55" t="s">
        <v>312</v>
      </c>
      <c r="J55" t="s">
        <v>313</v>
      </c>
      <c r="K55" t="s">
        <v>155</v>
      </c>
      <c r="L55" t="s">
        <v>60</v>
      </c>
      <c r="M55" t="s">
        <v>183</v>
      </c>
      <c r="N55" t="s">
        <v>139</v>
      </c>
      <c r="O55" t="s">
        <v>258</v>
      </c>
      <c r="P55" t="s">
        <v>187</v>
      </c>
      <c r="Q55" t="s">
        <v>168</v>
      </c>
      <c r="R55" t="s">
        <v>263</v>
      </c>
      <c r="S55" t="s">
        <v>192</v>
      </c>
      <c r="T55" t="s">
        <v>186</v>
      </c>
      <c r="U55" t="s">
        <v>113</v>
      </c>
      <c r="V55" t="s">
        <v>115</v>
      </c>
      <c r="W55" t="s">
        <v>126</v>
      </c>
      <c r="X55" t="s">
        <v>144</v>
      </c>
      <c r="Y55" t="s">
        <v>229</v>
      </c>
      <c r="Z55" t="s">
        <v>133</v>
      </c>
      <c r="AA55" t="s">
        <v>176</v>
      </c>
      <c r="AB55" t="s">
        <v>104</v>
      </c>
      <c r="AC55" t="s">
        <v>144</v>
      </c>
      <c r="AD55" t="s">
        <v>252</v>
      </c>
    </row>
    <row r="56" spans="1:30" x14ac:dyDescent="0.35">
      <c r="A56" t="s">
        <v>30</v>
      </c>
      <c r="B56">
        <v>2014</v>
      </c>
      <c r="C56" t="s">
        <v>163</v>
      </c>
      <c r="D56" t="s">
        <v>288</v>
      </c>
      <c r="E56" t="s">
        <v>230</v>
      </c>
      <c r="F56" t="s">
        <v>267</v>
      </c>
      <c r="G56" t="s">
        <v>314</v>
      </c>
      <c r="H56" t="s">
        <v>100</v>
      </c>
      <c r="I56" t="s">
        <v>315</v>
      </c>
      <c r="J56" t="s">
        <v>316</v>
      </c>
      <c r="K56" t="s">
        <v>115</v>
      </c>
      <c r="L56" t="s">
        <v>41</v>
      </c>
      <c r="M56" t="s">
        <v>222</v>
      </c>
      <c r="N56" t="s">
        <v>192</v>
      </c>
      <c r="O56" t="s">
        <v>291</v>
      </c>
      <c r="P56" t="s">
        <v>317</v>
      </c>
      <c r="Q56" t="s">
        <v>148</v>
      </c>
      <c r="R56" t="s">
        <v>275</v>
      </c>
      <c r="S56" t="s">
        <v>186</v>
      </c>
      <c r="T56" t="s">
        <v>293</v>
      </c>
      <c r="U56" t="s">
        <v>48</v>
      </c>
      <c r="V56" t="s">
        <v>268</v>
      </c>
      <c r="W56" t="s">
        <v>138</v>
      </c>
      <c r="X56" t="s">
        <v>127</v>
      </c>
      <c r="Y56" t="s">
        <v>115</v>
      </c>
      <c r="Z56" t="s">
        <v>229</v>
      </c>
      <c r="AA56" t="s">
        <v>212</v>
      </c>
      <c r="AB56" t="s">
        <v>108</v>
      </c>
      <c r="AC56" t="s">
        <v>166</v>
      </c>
      <c r="AD56" t="s">
        <v>305</v>
      </c>
    </row>
    <row r="57" spans="1:30" x14ac:dyDescent="0.35">
      <c r="A57" t="s">
        <v>54</v>
      </c>
      <c r="B57">
        <v>2014</v>
      </c>
      <c r="C57" t="s">
        <v>163</v>
      </c>
      <c r="D57" t="s">
        <v>318</v>
      </c>
      <c r="E57" t="s">
        <v>319</v>
      </c>
      <c r="F57" t="s">
        <v>148</v>
      </c>
      <c r="G57" t="s">
        <v>300</v>
      </c>
      <c r="H57" t="s">
        <v>70</v>
      </c>
      <c r="I57" t="s">
        <v>320</v>
      </c>
      <c r="J57" t="s">
        <v>321</v>
      </c>
      <c r="K57" t="s">
        <v>166</v>
      </c>
      <c r="L57" t="s">
        <v>81</v>
      </c>
      <c r="M57" t="s">
        <v>298</v>
      </c>
      <c r="N57" t="s">
        <v>159</v>
      </c>
      <c r="O57" t="s">
        <v>322</v>
      </c>
      <c r="P57" t="s">
        <v>323</v>
      </c>
      <c r="Q57" t="s">
        <v>285</v>
      </c>
      <c r="R57" t="s">
        <v>148</v>
      </c>
      <c r="S57" t="s">
        <v>211</v>
      </c>
      <c r="T57" t="s">
        <v>232</v>
      </c>
      <c r="U57" t="s">
        <v>176</v>
      </c>
      <c r="V57" t="s">
        <v>133</v>
      </c>
      <c r="W57" t="s">
        <v>160</v>
      </c>
      <c r="X57" t="s">
        <v>256</v>
      </c>
      <c r="Y57" t="s">
        <v>57</v>
      </c>
      <c r="Z57" t="s">
        <v>155</v>
      </c>
      <c r="AA57" t="s">
        <v>168</v>
      </c>
      <c r="AB57" t="s">
        <v>118</v>
      </c>
      <c r="AC57" t="s">
        <v>220</v>
      </c>
      <c r="AD57" t="s">
        <v>213</v>
      </c>
    </row>
    <row r="58" spans="1:30" x14ac:dyDescent="0.35">
      <c r="A58" t="s">
        <v>73</v>
      </c>
      <c r="B58">
        <v>2014</v>
      </c>
      <c r="C58" t="s">
        <v>163</v>
      </c>
      <c r="D58" t="s">
        <v>311</v>
      </c>
      <c r="E58" t="s">
        <v>257</v>
      </c>
      <c r="F58" t="s">
        <v>168</v>
      </c>
      <c r="G58" t="s">
        <v>285</v>
      </c>
      <c r="H58" t="s">
        <v>62</v>
      </c>
      <c r="I58" t="s">
        <v>309</v>
      </c>
      <c r="J58" t="s">
        <v>324</v>
      </c>
      <c r="K58" t="s">
        <v>115</v>
      </c>
      <c r="L58" t="s">
        <v>68</v>
      </c>
      <c r="M58" t="s">
        <v>212</v>
      </c>
      <c r="N58" t="s">
        <v>176</v>
      </c>
      <c r="O58" t="s">
        <v>279</v>
      </c>
      <c r="P58" t="s">
        <v>325</v>
      </c>
      <c r="Q58" t="s">
        <v>263</v>
      </c>
      <c r="R58" t="s">
        <v>191</v>
      </c>
      <c r="S58" t="s">
        <v>208</v>
      </c>
      <c r="T58" t="s">
        <v>201</v>
      </c>
      <c r="U58" t="s">
        <v>176</v>
      </c>
      <c r="V58" t="s">
        <v>113</v>
      </c>
      <c r="W58" t="s">
        <v>255</v>
      </c>
      <c r="X58" t="s">
        <v>188</v>
      </c>
      <c r="Y58" t="s">
        <v>166</v>
      </c>
      <c r="Z58" t="s">
        <v>147</v>
      </c>
      <c r="AA58" t="s">
        <v>246</v>
      </c>
      <c r="AB58" t="s">
        <v>86</v>
      </c>
      <c r="AC58" t="s">
        <v>222</v>
      </c>
      <c r="AD58" t="s">
        <v>169</v>
      </c>
    </row>
    <row r="59" spans="1:30" x14ac:dyDescent="0.35">
      <c r="A59" t="s">
        <v>30</v>
      </c>
      <c r="B59">
        <v>2014</v>
      </c>
      <c r="C59" t="s">
        <v>182</v>
      </c>
      <c r="D59" t="s">
        <v>326</v>
      </c>
      <c r="E59" t="s">
        <v>327</v>
      </c>
      <c r="F59" t="s">
        <v>168</v>
      </c>
      <c r="G59" t="s">
        <v>269</v>
      </c>
      <c r="H59" t="s">
        <v>130</v>
      </c>
      <c r="I59" t="s">
        <v>328</v>
      </c>
      <c r="J59" t="s">
        <v>329</v>
      </c>
      <c r="K59" t="s">
        <v>238</v>
      </c>
      <c r="L59" t="s">
        <v>44</v>
      </c>
      <c r="M59" t="s">
        <v>126</v>
      </c>
      <c r="N59" t="s">
        <v>247</v>
      </c>
      <c r="O59" t="s">
        <v>288</v>
      </c>
      <c r="P59" t="s">
        <v>330</v>
      </c>
      <c r="Q59" t="s">
        <v>263</v>
      </c>
      <c r="R59" t="s">
        <v>291</v>
      </c>
      <c r="S59" t="s">
        <v>263</v>
      </c>
      <c r="T59" t="s">
        <v>275</v>
      </c>
      <c r="U59" t="s">
        <v>48</v>
      </c>
      <c r="V59" t="s">
        <v>138</v>
      </c>
      <c r="W59" t="s">
        <v>244</v>
      </c>
      <c r="X59" t="s">
        <v>170</v>
      </c>
      <c r="Y59" t="s">
        <v>115</v>
      </c>
      <c r="Z59" t="s">
        <v>157</v>
      </c>
      <c r="AA59" t="s">
        <v>227</v>
      </c>
      <c r="AB59" t="s">
        <v>196</v>
      </c>
      <c r="AC59" t="s">
        <v>220</v>
      </c>
      <c r="AD59" t="s">
        <v>275</v>
      </c>
    </row>
    <row r="60" spans="1:30" x14ac:dyDescent="0.35">
      <c r="A60" t="s">
        <v>54</v>
      </c>
      <c r="B60">
        <v>2014</v>
      </c>
      <c r="C60" t="s">
        <v>182</v>
      </c>
      <c r="D60" t="s">
        <v>331</v>
      </c>
      <c r="E60" t="s">
        <v>332</v>
      </c>
      <c r="F60" t="s">
        <v>241</v>
      </c>
      <c r="G60" t="s">
        <v>265</v>
      </c>
      <c r="H60" t="s">
        <v>58</v>
      </c>
      <c r="I60" t="s">
        <v>333</v>
      </c>
      <c r="J60" t="s">
        <v>334</v>
      </c>
      <c r="K60" t="s">
        <v>255</v>
      </c>
      <c r="L60" t="s">
        <v>81</v>
      </c>
      <c r="M60" t="s">
        <v>279</v>
      </c>
      <c r="N60" t="s">
        <v>231</v>
      </c>
      <c r="O60" t="s">
        <v>325</v>
      </c>
      <c r="P60" t="s">
        <v>335</v>
      </c>
      <c r="Q60" t="s">
        <v>336</v>
      </c>
      <c r="R60" t="s">
        <v>200</v>
      </c>
      <c r="S60" t="s">
        <v>238</v>
      </c>
      <c r="T60" t="s">
        <v>277</v>
      </c>
      <c r="U60" t="s">
        <v>212</v>
      </c>
      <c r="V60" t="s">
        <v>229</v>
      </c>
      <c r="W60" t="s">
        <v>268</v>
      </c>
      <c r="X60" t="s">
        <v>157</v>
      </c>
      <c r="Y60" t="s">
        <v>153</v>
      </c>
      <c r="Z60" t="s">
        <v>94</v>
      </c>
      <c r="AA60" t="s">
        <v>169</v>
      </c>
      <c r="AB60" t="s">
        <v>55</v>
      </c>
      <c r="AC60" t="s">
        <v>113</v>
      </c>
      <c r="AD60" t="s">
        <v>272</v>
      </c>
    </row>
    <row r="61" spans="1:30" x14ac:dyDescent="0.35">
      <c r="A61" t="s">
        <v>73</v>
      </c>
      <c r="B61">
        <v>2014</v>
      </c>
      <c r="C61" t="s">
        <v>182</v>
      </c>
      <c r="D61" t="s">
        <v>296</v>
      </c>
      <c r="E61" t="s">
        <v>337</v>
      </c>
      <c r="F61" t="s">
        <v>226</v>
      </c>
      <c r="G61" t="s">
        <v>259</v>
      </c>
      <c r="H61" t="s">
        <v>125</v>
      </c>
      <c r="I61" t="s">
        <v>338</v>
      </c>
      <c r="J61" t="s">
        <v>339</v>
      </c>
      <c r="K61" t="s">
        <v>215</v>
      </c>
      <c r="L61" t="s">
        <v>71</v>
      </c>
      <c r="M61" t="s">
        <v>221</v>
      </c>
      <c r="N61" t="s">
        <v>255</v>
      </c>
      <c r="O61" t="s">
        <v>307</v>
      </c>
      <c r="P61" t="s">
        <v>340</v>
      </c>
      <c r="Q61" t="s">
        <v>272</v>
      </c>
      <c r="R61" t="s">
        <v>298</v>
      </c>
      <c r="S61" t="s">
        <v>246</v>
      </c>
      <c r="T61" t="s">
        <v>191</v>
      </c>
      <c r="U61" t="s">
        <v>212</v>
      </c>
      <c r="V61" t="s">
        <v>170</v>
      </c>
      <c r="W61" t="s">
        <v>192</v>
      </c>
      <c r="X61" t="s">
        <v>222</v>
      </c>
      <c r="Y61" t="s">
        <v>101</v>
      </c>
      <c r="Z61" t="s">
        <v>180</v>
      </c>
      <c r="AA61" t="s">
        <v>148</v>
      </c>
      <c r="AB61" t="s">
        <v>109</v>
      </c>
      <c r="AC61" t="s">
        <v>206</v>
      </c>
      <c r="AD61" t="s">
        <v>293</v>
      </c>
    </row>
    <row r="62" spans="1:30" x14ac:dyDescent="0.35">
      <c r="A62" t="s">
        <v>30</v>
      </c>
      <c r="B62">
        <v>2014</v>
      </c>
      <c r="C62" t="s">
        <v>197</v>
      </c>
      <c r="D62" t="s">
        <v>341</v>
      </c>
      <c r="E62" t="s">
        <v>311</v>
      </c>
      <c r="F62" t="s">
        <v>168</v>
      </c>
      <c r="G62" t="s">
        <v>296</v>
      </c>
      <c r="H62" t="s">
        <v>100</v>
      </c>
      <c r="I62" t="s">
        <v>342</v>
      </c>
      <c r="J62" t="s">
        <v>343</v>
      </c>
      <c r="K62" t="s">
        <v>158</v>
      </c>
      <c r="L62" t="s">
        <v>53</v>
      </c>
      <c r="M62" t="s">
        <v>160</v>
      </c>
      <c r="N62" t="s">
        <v>241</v>
      </c>
      <c r="O62" t="s">
        <v>234</v>
      </c>
      <c r="P62" t="s">
        <v>330</v>
      </c>
      <c r="Q62" t="s">
        <v>305</v>
      </c>
      <c r="R62" t="s">
        <v>288</v>
      </c>
      <c r="S62" t="s">
        <v>169</v>
      </c>
      <c r="T62" t="s">
        <v>344</v>
      </c>
      <c r="U62" t="s">
        <v>48</v>
      </c>
      <c r="V62" t="s">
        <v>247</v>
      </c>
      <c r="W62" t="s">
        <v>252</v>
      </c>
      <c r="X62" t="s">
        <v>215</v>
      </c>
      <c r="Y62" t="s">
        <v>101</v>
      </c>
      <c r="Z62" t="s">
        <v>180</v>
      </c>
      <c r="AA62" t="s">
        <v>195</v>
      </c>
      <c r="AB62" t="s">
        <v>56</v>
      </c>
      <c r="AC62" t="s">
        <v>206</v>
      </c>
      <c r="AD62" t="s">
        <v>291</v>
      </c>
    </row>
    <row r="63" spans="1:30" x14ac:dyDescent="0.35">
      <c r="A63" t="s">
        <v>54</v>
      </c>
      <c r="B63">
        <v>2014</v>
      </c>
      <c r="C63" t="s">
        <v>197</v>
      </c>
      <c r="D63" t="s">
        <v>345</v>
      </c>
      <c r="E63" t="s">
        <v>346</v>
      </c>
      <c r="F63" t="s">
        <v>177</v>
      </c>
      <c r="G63" t="s">
        <v>296</v>
      </c>
      <c r="H63" t="s">
        <v>70</v>
      </c>
      <c r="I63" t="s">
        <v>270</v>
      </c>
      <c r="J63" t="s">
        <v>347</v>
      </c>
      <c r="K63" t="s">
        <v>95</v>
      </c>
      <c r="L63" t="s">
        <v>38</v>
      </c>
      <c r="M63" t="s">
        <v>237</v>
      </c>
      <c r="N63" t="s">
        <v>176</v>
      </c>
      <c r="O63" t="s">
        <v>348</v>
      </c>
      <c r="P63" t="s">
        <v>162</v>
      </c>
      <c r="Q63" t="s">
        <v>349</v>
      </c>
      <c r="R63" t="s">
        <v>169</v>
      </c>
      <c r="S63" t="s">
        <v>215</v>
      </c>
      <c r="T63" t="s">
        <v>243</v>
      </c>
      <c r="U63" t="s">
        <v>276</v>
      </c>
      <c r="V63" t="s">
        <v>229</v>
      </c>
      <c r="W63" t="s">
        <v>212</v>
      </c>
      <c r="X63" t="s">
        <v>144</v>
      </c>
      <c r="Y63" t="s">
        <v>119</v>
      </c>
      <c r="Z63" t="s">
        <v>127</v>
      </c>
      <c r="AA63" t="s">
        <v>298</v>
      </c>
      <c r="AB63" t="s">
        <v>76</v>
      </c>
      <c r="AC63" t="s">
        <v>211</v>
      </c>
      <c r="AD63" t="s">
        <v>169</v>
      </c>
    </row>
    <row r="64" spans="1:30" x14ac:dyDescent="0.35">
      <c r="A64" t="s">
        <v>73</v>
      </c>
      <c r="B64">
        <v>2014</v>
      </c>
      <c r="C64" t="s">
        <v>197</v>
      </c>
      <c r="D64" t="s">
        <v>237</v>
      </c>
      <c r="E64" t="s">
        <v>253</v>
      </c>
      <c r="F64" t="s">
        <v>226</v>
      </c>
      <c r="G64" t="s">
        <v>296</v>
      </c>
      <c r="H64" t="s">
        <v>62</v>
      </c>
      <c r="I64" t="s">
        <v>332</v>
      </c>
      <c r="J64" t="s">
        <v>350</v>
      </c>
      <c r="K64" t="s">
        <v>192</v>
      </c>
      <c r="L64" t="s">
        <v>52</v>
      </c>
      <c r="M64" t="s">
        <v>290</v>
      </c>
      <c r="N64" t="s">
        <v>247</v>
      </c>
      <c r="O64" t="s">
        <v>318</v>
      </c>
      <c r="P64" t="s">
        <v>303</v>
      </c>
      <c r="Q64" t="s">
        <v>219</v>
      </c>
      <c r="R64" t="s">
        <v>275</v>
      </c>
      <c r="S64" t="s">
        <v>193</v>
      </c>
      <c r="T64" t="s">
        <v>152</v>
      </c>
      <c r="U64" t="s">
        <v>276</v>
      </c>
      <c r="V64" t="s">
        <v>183</v>
      </c>
      <c r="W64" t="s">
        <v>276</v>
      </c>
      <c r="X64" t="s">
        <v>206</v>
      </c>
      <c r="Y64" t="s">
        <v>205</v>
      </c>
      <c r="Z64" t="s">
        <v>166</v>
      </c>
      <c r="AA64" t="s">
        <v>200</v>
      </c>
      <c r="AB64" t="s">
        <v>124</v>
      </c>
      <c r="AC64" t="s">
        <v>206</v>
      </c>
      <c r="AD64" t="s">
        <v>152</v>
      </c>
    </row>
    <row r="65" spans="1:30" x14ac:dyDescent="0.35">
      <c r="A65" t="s">
        <v>30</v>
      </c>
      <c r="B65">
        <v>2014</v>
      </c>
      <c r="C65" t="s">
        <v>207</v>
      </c>
      <c r="D65" t="s">
        <v>234</v>
      </c>
      <c r="E65" t="s">
        <v>230</v>
      </c>
      <c r="F65" t="s">
        <v>186</v>
      </c>
      <c r="G65" t="s">
        <v>351</v>
      </c>
      <c r="H65" t="s">
        <v>55</v>
      </c>
      <c r="I65" t="s">
        <v>335</v>
      </c>
      <c r="J65" t="s">
        <v>352</v>
      </c>
      <c r="K65" t="s">
        <v>212</v>
      </c>
      <c r="L65" t="s">
        <v>49</v>
      </c>
      <c r="M65" t="s">
        <v>268</v>
      </c>
      <c r="N65" t="s">
        <v>246</v>
      </c>
      <c r="O65" t="s">
        <v>351</v>
      </c>
      <c r="P65" t="s">
        <v>353</v>
      </c>
      <c r="Q65" t="s">
        <v>298</v>
      </c>
      <c r="R65" t="s">
        <v>296</v>
      </c>
      <c r="S65" t="s">
        <v>293</v>
      </c>
      <c r="T65" t="s">
        <v>341</v>
      </c>
      <c r="U65" t="s">
        <v>48</v>
      </c>
      <c r="V65" t="s">
        <v>177</v>
      </c>
      <c r="W65" t="s">
        <v>173</v>
      </c>
      <c r="X65" t="s">
        <v>268</v>
      </c>
      <c r="Y65" t="s">
        <v>180</v>
      </c>
      <c r="Z65" t="s">
        <v>57</v>
      </c>
      <c r="AA65" t="s">
        <v>95</v>
      </c>
      <c r="AB65" t="s">
        <v>145</v>
      </c>
      <c r="AC65" t="s">
        <v>170</v>
      </c>
      <c r="AD65" t="s">
        <v>285</v>
      </c>
    </row>
    <row r="66" spans="1:30" x14ac:dyDescent="0.35">
      <c r="A66" t="s">
        <v>54</v>
      </c>
      <c r="B66">
        <v>2014</v>
      </c>
      <c r="C66" t="s">
        <v>207</v>
      </c>
      <c r="D66" t="s">
        <v>354</v>
      </c>
      <c r="E66" t="s">
        <v>292</v>
      </c>
      <c r="F66" t="s">
        <v>168</v>
      </c>
      <c r="G66" t="s">
        <v>307</v>
      </c>
      <c r="H66" t="s">
        <v>70</v>
      </c>
      <c r="I66" t="s">
        <v>253</v>
      </c>
      <c r="J66" t="s">
        <v>355</v>
      </c>
      <c r="K66" t="s">
        <v>232</v>
      </c>
      <c r="L66" t="s">
        <v>278</v>
      </c>
      <c r="M66" t="s">
        <v>318</v>
      </c>
      <c r="N66" t="s">
        <v>255</v>
      </c>
      <c r="O66" t="s">
        <v>308</v>
      </c>
      <c r="P66" t="s">
        <v>303</v>
      </c>
      <c r="Q66" t="s">
        <v>349</v>
      </c>
      <c r="R66" t="s">
        <v>191</v>
      </c>
      <c r="S66" t="s">
        <v>160</v>
      </c>
      <c r="T66" t="s">
        <v>213</v>
      </c>
      <c r="U66" t="s">
        <v>252</v>
      </c>
      <c r="V66" t="s">
        <v>205</v>
      </c>
      <c r="W66" t="s">
        <v>247</v>
      </c>
      <c r="X66" t="s">
        <v>180</v>
      </c>
      <c r="Y66" t="s">
        <v>149</v>
      </c>
      <c r="Z66" t="s">
        <v>211</v>
      </c>
      <c r="AA66" t="s">
        <v>224</v>
      </c>
      <c r="AB66" t="s">
        <v>175</v>
      </c>
      <c r="AC66" t="s">
        <v>206</v>
      </c>
      <c r="AD66" t="s">
        <v>201</v>
      </c>
    </row>
    <row r="67" spans="1:30" x14ac:dyDescent="0.35">
      <c r="A67" t="s">
        <v>73</v>
      </c>
      <c r="B67">
        <v>2014</v>
      </c>
      <c r="C67" t="s">
        <v>207</v>
      </c>
      <c r="D67" t="s">
        <v>351</v>
      </c>
      <c r="E67" t="s">
        <v>318</v>
      </c>
      <c r="F67" t="s">
        <v>214</v>
      </c>
      <c r="G67" t="s">
        <v>351</v>
      </c>
      <c r="H67" t="s">
        <v>62</v>
      </c>
      <c r="I67" t="s">
        <v>319</v>
      </c>
      <c r="J67" t="s">
        <v>356</v>
      </c>
      <c r="K67" t="s">
        <v>276</v>
      </c>
      <c r="L67" t="s">
        <v>40</v>
      </c>
      <c r="M67" t="s">
        <v>214</v>
      </c>
      <c r="N67" t="s">
        <v>276</v>
      </c>
      <c r="O67" t="s">
        <v>270</v>
      </c>
      <c r="P67" t="s">
        <v>346</v>
      </c>
      <c r="Q67" t="s">
        <v>299</v>
      </c>
      <c r="R67" t="s">
        <v>281</v>
      </c>
      <c r="S67" t="s">
        <v>214</v>
      </c>
      <c r="T67" t="s">
        <v>285</v>
      </c>
      <c r="U67" t="s">
        <v>252</v>
      </c>
      <c r="V67" t="s">
        <v>181</v>
      </c>
      <c r="W67" t="s">
        <v>252</v>
      </c>
      <c r="X67" t="s">
        <v>183</v>
      </c>
      <c r="Y67" t="s">
        <v>229</v>
      </c>
      <c r="Z67" t="s">
        <v>222</v>
      </c>
      <c r="AA67" t="s">
        <v>263</v>
      </c>
      <c r="AB67" t="s">
        <v>135</v>
      </c>
      <c r="AC67" t="s">
        <v>113</v>
      </c>
      <c r="AD67" t="s">
        <v>152</v>
      </c>
    </row>
    <row r="68" spans="1:30" x14ac:dyDescent="0.35">
      <c r="A68" t="s">
        <v>30</v>
      </c>
      <c r="B68">
        <v>2014</v>
      </c>
      <c r="C68" t="s">
        <v>233</v>
      </c>
      <c r="D68" t="s">
        <v>296</v>
      </c>
      <c r="E68" t="s">
        <v>234</v>
      </c>
      <c r="F68" t="s">
        <v>272</v>
      </c>
      <c r="G68" t="s">
        <v>357</v>
      </c>
      <c r="H68" t="s">
        <v>55</v>
      </c>
      <c r="I68" t="s">
        <v>358</v>
      </c>
      <c r="J68" t="s">
        <v>359</v>
      </c>
      <c r="K68" t="s">
        <v>227</v>
      </c>
      <c r="L68" t="s">
        <v>50</v>
      </c>
      <c r="M68" t="s">
        <v>247</v>
      </c>
      <c r="N68" t="s">
        <v>246</v>
      </c>
      <c r="O68" t="s">
        <v>270</v>
      </c>
      <c r="P68" t="s">
        <v>360</v>
      </c>
      <c r="Q68" t="s">
        <v>219</v>
      </c>
      <c r="R68" t="s">
        <v>317</v>
      </c>
      <c r="S68" t="s">
        <v>248</v>
      </c>
      <c r="T68" t="s">
        <v>237</v>
      </c>
      <c r="U68" t="s">
        <v>48</v>
      </c>
      <c r="V68" t="s">
        <v>226</v>
      </c>
      <c r="W68" t="s">
        <v>214</v>
      </c>
      <c r="X68" t="s">
        <v>244</v>
      </c>
      <c r="Y68" t="s">
        <v>205</v>
      </c>
      <c r="Z68" t="s">
        <v>222</v>
      </c>
      <c r="AA68" t="s">
        <v>193</v>
      </c>
      <c r="AB68" t="s">
        <v>108</v>
      </c>
      <c r="AC68" t="s">
        <v>238</v>
      </c>
      <c r="AD68" t="s">
        <v>299</v>
      </c>
    </row>
    <row r="69" spans="1:30" x14ac:dyDescent="0.35">
      <c r="A69" t="s">
        <v>54</v>
      </c>
      <c r="B69">
        <v>2014</v>
      </c>
      <c r="C69" t="s">
        <v>233</v>
      </c>
      <c r="D69" t="s">
        <v>270</v>
      </c>
      <c r="E69" t="s">
        <v>361</v>
      </c>
      <c r="F69" t="s">
        <v>296</v>
      </c>
      <c r="G69" t="s">
        <v>354</v>
      </c>
      <c r="H69" t="s">
        <v>69</v>
      </c>
      <c r="I69" t="s">
        <v>265</v>
      </c>
      <c r="J69" t="s">
        <v>362</v>
      </c>
      <c r="K69" t="s">
        <v>284</v>
      </c>
      <c r="L69" t="s">
        <v>363</v>
      </c>
      <c r="M69" t="s">
        <v>354</v>
      </c>
      <c r="N69" t="s">
        <v>247</v>
      </c>
      <c r="O69" t="s">
        <v>364</v>
      </c>
      <c r="P69" t="s">
        <v>346</v>
      </c>
      <c r="Q69" t="s">
        <v>303</v>
      </c>
      <c r="R69" t="s">
        <v>293</v>
      </c>
      <c r="S69" t="s">
        <v>138</v>
      </c>
      <c r="T69" t="s">
        <v>305</v>
      </c>
      <c r="U69" t="s">
        <v>221</v>
      </c>
      <c r="V69" t="s">
        <v>180</v>
      </c>
      <c r="W69" t="s">
        <v>177</v>
      </c>
      <c r="X69" t="s">
        <v>57</v>
      </c>
      <c r="Y69" t="s">
        <v>118</v>
      </c>
      <c r="Z69" t="s">
        <v>170</v>
      </c>
      <c r="AA69" t="s">
        <v>293</v>
      </c>
      <c r="AB69" t="s">
        <v>135</v>
      </c>
      <c r="AC69" t="s">
        <v>127</v>
      </c>
      <c r="AD69" t="s">
        <v>262</v>
      </c>
    </row>
    <row r="70" spans="1:30" x14ac:dyDescent="0.35">
      <c r="A70" t="s">
        <v>73</v>
      </c>
      <c r="B70">
        <v>2014</v>
      </c>
      <c r="C70" t="s">
        <v>233</v>
      </c>
      <c r="D70" t="s">
        <v>317</v>
      </c>
      <c r="E70" t="s">
        <v>141</v>
      </c>
      <c r="F70" t="s">
        <v>285</v>
      </c>
      <c r="G70" t="s">
        <v>345</v>
      </c>
      <c r="H70" t="s">
        <v>167</v>
      </c>
      <c r="I70" t="s">
        <v>365</v>
      </c>
      <c r="J70" t="s">
        <v>366</v>
      </c>
      <c r="K70" t="s">
        <v>193</v>
      </c>
      <c r="L70" t="s">
        <v>128</v>
      </c>
      <c r="M70" t="s">
        <v>239</v>
      </c>
      <c r="N70" t="s">
        <v>177</v>
      </c>
      <c r="O70" t="s">
        <v>361</v>
      </c>
      <c r="P70" t="s">
        <v>353</v>
      </c>
      <c r="Q70" t="s">
        <v>279</v>
      </c>
      <c r="R70" t="s">
        <v>279</v>
      </c>
      <c r="S70" t="s">
        <v>243</v>
      </c>
      <c r="T70" t="s">
        <v>300</v>
      </c>
      <c r="U70" t="s">
        <v>221</v>
      </c>
      <c r="V70" t="s">
        <v>212</v>
      </c>
      <c r="W70" t="s">
        <v>226</v>
      </c>
      <c r="X70" t="s">
        <v>176</v>
      </c>
      <c r="Y70" t="s">
        <v>184</v>
      </c>
      <c r="Z70" t="s">
        <v>206</v>
      </c>
      <c r="AA70" t="s">
        <v>262</v>
      </c>
      <c r="AB70" t="s">
        <v>56</v>
      </c>
      <c r="AC70" t="s">
        <v>159</v>
      </c>
      <c r="AD70" t="s">
        <v>152</v>
      </c>
    </row>
    <row r="71" spans="1:30" x14ac:dyDescent="0.35">
      <c r="A71" t="s">
        <v>30</v>
      </c>
      <c r="B71">
        <v>2014</v>
      </c>
      <c r="C71" t="s">
        <v>242</v>
      </c>
      <c r="D71" t="s">
        <v>311</v>
      </c>
      <c r="E71" t="s">
        <v>311</v>
      </c>
      <c r="F71" t="s">
        <v>326</v>
      </c>
      <c r="G71" t="s">
        <v>345</v>
      </c>
      <c r="H71" t="s">
        <v>88</v>
      </c>
      <c r="I71" t="s">
        <v>367</v>
      </c>
      <c r="J71" t="s">
        <v>368</v>
      </c>
      <c r="K71" t="s">
        <v>208</v>
      </c>
      <c r="L71" t="s">
        <v>129</v>
      </c>
      <c r="M71" t="s">
        <v>218</v>
      </c>
      <c r="N71" t="s">
        <v>226</v>
      </c>
      <c r="O71" t="s">
        <v>331</v>
      </c>
      <c r="P71" t="s">
        <v>317</v>
      </c>
      <c r="Q71" t="s">
        <v>288</v>
      </c>
      <c r="R71" t="s">
        <v>318</v>
      </c>
      <c r="S71" t="s">
        <v>314</v>
      </c>
      <c r="T71" t="s">
        <v>317</v>
      </c>
      <c r="U71" t="s">
        <v>48</v>
      </c>
      <c r="V71" t="s">
        <v>232</v>
      </c>
      <c r="W71" t="s">
        <v>289</v>
      </c>
      <c r="X71" t="s">
        <v>227</v>
      </c>
      <c r="Y71" t="s">
        <v>256</v>
      </c>
      <c r="Z71" t="s">
        <v>222</v>
      </c>
      <c r="AA71" t="s">
        <v>267</v>
      </c>
      <c r="AB71" t="s">
        <v>196</v>
      </c>
      <c r="AC71" t="s">
        <v>139</v>
      </c>
      <c r="AD71" t="s">
        <v>293</v>
      </c>
    </row>
    <row r="72" spans="1:30" x14ac:dyDescent="0.35">
      <c r="A72" t="s">
        <v>54</v>
      </c>
      <c r="B72">
        <v>2014</v>
      </c>
      <c r="C72" t="s">
        <v>242</v>
      </c>
      <c r="D72" t="s">
        <v>357</v>
      </c>
      <c r="E72" t="s">
        <v>325</v>
      </c>
      <c r="F72" t="s">
        <v>294</v>
      </c>
      <c r="G72" t="s">
        <v>360</v>
      </c>
      <c r="H72" t="s">
        <v>120</v>
      </c>
      <c r="I72" t="s">
        <v>341</v>
      </c>
      <c r="J72" t="s">
        <v>369</v>
      </c>
      <c r="K72" t="s">
        <v>152</v>
      </c>
      <c r="L72" t="s">
        <v>370</v>
      </c>
      <c r="M72" t="s">
        <v>346</v>
      </c>
      <c r="N72" t="s">
        <v>276</v>
      </c>
      <c r="O72" t="s">
        <v>371</v>
      </c>
      <c r="P72" t="s">
        <v>357</v>
      </c>
      <c r="Q72" t="s">
        <v>319</v>
      </c>
      <c r="R72" t="s">
        <v>275</v>
      </c>
      <c r="S72" t="s">
        <v>247</v>
      </c>
      <c r="T72" t="s">
        <v>298</v>
      </c>
      <c r="U72" t="s">
        <v>241</v>
      </c>
      <c r="V72" t="s">
        <v>57</v>
      </c>
      <c r="W72" t="s">
        <v>246</v>
      </c>
      <c r="X72" t="s">
        <v>115</v>
      </c>
      <c r="Y72" t="s">
        <v>108</v>
      </c>
      <c r="Z72" t="s">
        <v>183</v>
      </c>
      <c r="AA72" t="s">
        <v>275</v>
      </c>
      <c r="AB72" t="s">
        <v>100</v>
      </c>
      <c r="AC72" t="s">
        <v>127</v>
      </c>
      <c r="AD72" t="s">
        <v>243</v>
      </c>
    </row>
    <row r="73" spans="1:30" x14ac:dyDescent="0.35">
      <c r="A73" t="s">
        <v>73</v>
      </c>
      <c r="B73">
        <v>2014</v>
      </c>
      <c r="C73" t="s">
        <v>242</v>
      </c>
      <c r="D73" t="s">
        <v>237</v>
      </c>
      <c r="E73" t="s">
        <v>351</v>
      </c>
      <c r="F73" t="s">
        <v>253</v>
      </c>
      <c r="G73" t="s">
        <v>270</v>
      </c>
      <c r="H73" t="s">
        <v>112</v>
      </c>
      <c r="I73" t="s">
        <v>365</v>
      </c>
      <c r="J73" t="s">
        <v>372</v>
      </c>
      <c r="K73" t="s">
        <v>290</v>
      </c>
      <c r="L73" t="s">
        <v>373</v>
      </c>
      <c r="M73" t="s">
        <v>201</v>
      </c>
      <c r="N73" t="s">
        <v>246</v>
      </c>
      <c r="O73" t="s">
        <v>292</v>
      </c>
      <c r="P73" t="s">
        <v>374</v>
      </c>
      <c r="Q73" t="s">
        <v>336</v>
      </c>
      <c r="R73" t="s">
        <v>234</v>
      </c>
      <c r="S73" t="s">
        <v>200</v>
      </c>
      <c r="T73" t="s">
        <v>259</v>
      </c>
      <c r="U73" t="s">
        <v>241</v>
      </c>
      <c r="V73" t="s">
        <v>198</v>
      </c>
      <c r="W73" t="s">
        <v>173</v>
      </c>
      <c r="X73" t="s">
        <v>273</v>
      </c>
      <c r="Y73" t="s">
        <v>175</v>
      </c>
      <c r="Z73" t="s">
        <v>113</v>
      </c>
      <c r="AA73" t="s">
        <v>305</v>
      </c>
      <c r="AB73" t="s">
        <v>117</v>
      </c>
      <c r="AC73" t="s">
        <v>159</v>
      </c>
      <c r="AD73" t="s">
        <v>266</v>
      </c>
    </row>
    <row r="74" spans="1:30" x14ac:dyDescent="0.35">
      <c r="A74" t="s">
        <v>30</v>
      </c>
      <c r="B74">
        <v>2015</v>
      </c>
      <c r="C74" t="s">
        <v>31</v>
      </c>
      <c r="D74" t="s">
        <v>307</v>
      </c>
      <c r="E74" t="s">
        <v>307</v>
      </c>
      <c r="F74" t="s">
        <v>279</v>
      </c>
      <c r="G74" t="s">
        <v>360</v>
      </c>
      <c r="H74" t="s">
        <v>149</v>
      </c>
      <c r="I74" t="s">
        <v>375</v>
      </c>
      <c r="J74" t="s">
        <v>376</v>
      </c>
      <c r="K74" t="s">
        <v>193</v>
      </c>
      <c r="L74" t="s">
        <v>132</v>
      </c>
      <c r="M74" t="s">
        <v>193</v>
      </c>
      <c r="N74" t="s">
        <v>277</v>
      </c>
      <c r="O74" t="s">
        <v>361</v>
      </c>
      <c r="P74" t="s">
        <v>327</v>
      </c>
      <c r="Q74" t="s">
        <v>296</v>
      </c>
      <c r="R74" t="s">
        <v>337</v>
      </c>
      <c r="S74" t="s">
        <v>300</v>
      </c>
      <c r="T74" t="s">
        <v>357</v>
      </c>
      <c r="U74" t="s">
        <v>48</v>
      </c>
      <c r="V74" t="s">
        <v>243</v>
      </c>
      <c r="W74" t="s">
        <v>213</v>
      </c>
      <c r="X74" t="s">
        <v>195</v>
      </c>
      <c r="Y74" t="s">
        <v>149</v>
      </c>
      <c r="Z74" t="s">
        <v>170</v>
      </c>
      <c r="AA74" t="s">
        <v>289</v>
      </c>
      <c r="AB74" t="s">
        <v>88</v>
      </c>
      <c r="AC74" t="s">
        <v>215</v>
      </c>
      <c r="AD74" t="s">
        <v>293</v>
      </c>
    </row>
    <row r="75" spans="1:30" x14ac:dyDescent="0.35">
      <c r="A75" t="s">
        <v>54</v>
      </c>
      <c r="B75">
        <v>2015</v>
      </c>
      <c r="C75" t="s">
        <v>31</v>
      </c>
      <c r="D75" t="s">
        <v>357</v>
      </c>
      <c r="E75" t="s">
        <v>287</v>
      </c>
      <c r="F75" t="s">
        <v>340</v>
      </c>
      <c r="G75" t="s">
        <v>348</v>
      </c>
      <c r="H75" t="s">
        <v>71</v>
      </c>
      <c r="I75" t="s">
        <v>344</v>
      </c>
      <c r="J75" t="s">
        <v>377</v>
      </c>
      <c r="K75" t="s">
        <v>237</v>
      </c>
      <c r="L75" t="s">
        <v>378</v>
      </c>
      <c r="M75" t="s">
        <v>340</v>
      </c>
      <c r="N75" t="s">
        <v>241</v>
      </c>
      <c r="O75" t="s">
        <v>379</v>
      </c>
      <c r="P75" t="s">
        <v>253</v>
      </c>
      <c r="Q75" t="s">
        <v>380</v>
      </c>
      <c r="R75" t="s">
        <v>285</v>
      </c>
      <c r="S75" t="s">
        <v>276</v>
      </c>
      <c r="T75" t="s">
        <v>224</v>
      </c>
      <c r="U75" t="s">
        <v>226</v>
      </c>
      <c r="V75" t="s">
        <v>127</v>
      </c>
      <c r="W75" t="s">
        <v>193</v>
      </c>
      <c r="X75" t="s">
        <v>206</v>
      </c>
      <c r="Y75" t="s">
        <v>62</v>
      </c>
      <c r="Z75" t="s">
        <v>126</v>
      </c>
      <c r="AA75" t="s">
        <v>219</v>
      </c>
      <c r="AB75" t="s">
        <v>114</v>
      </c>
      <c r="AC75" t="s">
        <v>127</v>
      </c>
      <c r="AD75" t="s">
        <v>295</v>
      </c>
    </row>
    <row r="76" spans="1:30" x14ac:dyDescent="0.35">
      <c r="A76" t="s">
        <v>73</v>
      </c>
      <c r="B76">
        <v>2015</v>
      </c>
      <c r="C76" t="s">
        <v>31</v>
      </c>
      <c r="D76" t="s">
        <v>322</v>
      </c>
      <c r="E76" t="s">
        <v>257</v>
      </c>
      <c r="F76" t="s">
        <v>318</v>
      </c>
      <c r="G76" t="s">
        <v>302</v>
      </c>
      <c r="H76" t="s">
        <v>131</v>
      </c>
      <c r="I76" t="s">
        <v>381</v>
      </c>
      <c r="J76" t="s">
        <v>382</v>
      </c>
      <c r="K76" t="s">
        <v>201</v>
      </c>
      <c r="L76" t="s">
        <v>383</v>
      </c>
      <c r="M76" t="s">
        <v>293</v>
      </c>
      <c r="N76" t="s">
        <v>226</v>
      </c>
      <c r="O76" t="s">
        <v>162</v>
      </c>
      <c r="P76" t="s">
        <v>307</v>
      </c>
      <c r="Q76" t="s">
        <v>357</v>
      </c>
      <c r="R76" t="s">
        <v>307</v>
      </c>
      <c r="S76" t="s">
        <v>284</v>
      </c>
      <c r="T76" t="s">
        <v>230</v>
      </c>
      <c r="U76" t="s">
        <v>226</v>
      </c>
      <c r="V76" t="s">
        <v>241</v>
      </c>
      <c r="W76" t="s">
        <v>214</v>
      </c>
      <c r="X76" t="s">
        <v>212</v>
      </c>
      <c r="Y76" t="s">
        <v>196</v>
      </c>
      <c r="Z76" t="s">
        <v>183</v>
      </c>
      <c r="AA76" t="s">
        <v>306</v>
      </c>
      <c r="AB76" t="s">
        <v>161</v>
      </c>
      <c r="AC76" t="s">
        <v>170</v>
      </c>
      <c r="AD76" t="s">
        <v>305</v>
      </c>
    </row>
    <row r="77" spans="1:30" x14ac:dyDescent="0.35">
      <c r="A77" t="s">
        <v>30</v>
      </c>
      <c r="B77">
        <v>2015</v>
      </c>
      <c r="C77" t="s">
        <v>85</v>
      </c>
      <c r="D77" t="s">
        <v>322</v>
      </c>
      <c r="E77" t="s">
        <v>337</v>
      </c>
      <c r="F77" t="s">
        <v>279</v>
      </c>
      <c r="G77" t="s">
        <v>303</v>
      </c>
      <c r="H77" t="s">
        <v>256</v>
      </c>
      <c r="I77" t="s">
        <v>384</v>
      </c>
      <c r="J77" t="s">
        <v>385</v>
      </c>
      <c r="K77" t="s">
        <v>263</v>
      </c>
      <c r="L77" t="s">
        <v>386</v>
      </c>
      <c r="M77" t="s">
        <v>200</v>
      </c>
      <c r="N77" t="s">
        <v>263</v>
      </c>
      <c r="O77" t="s">
        <v>387</v>
      </c>
      <c r="P77" t="s">
        <v>327</v>
      </c>
      <c r="Q77" t="s">
        <v>345</v>
      </c>
      <c r="R77" t="s">
        <v>346</v>
      </c>
      <c r="S77" t="s">
        <v>296</v>
      </c>
      <c r="T77" t="s">
        <v>302</v>
      </c>
      <c r="U77" t="s">
        <v>48</v>
      </c>
      <c r="V77" t="s">
        <v>298</v>
      </c>
      <c r="W77" t="s">
        <v>191</v>
      </c>
      <c r="X77" t="s">
        <v>267</v>
      </c>
      <c r="Y77" t="s">
        <v>134</v>
      </c>
      <c r="Z77" t="s">
        <v>176</v>
      </c>
      <c r="AA77" t="s">
        <v>239</v>
      </c>
      <c r="AB77" t="s">
        <v>184</v>
      </c>
      <c r="AC77" t="s">
        <v>158</v>
      </c>
      <c r="AD77" t="s">
        <v>314</v>
      </c>
    </row>
    <row r="78" spans="1:30" x14ac:dyDescent="0.35">
      <c r="A78" t="s">
        <v>54</v>
      </c>
      <c r="B78">
        <v>2015</v>
      </c>
      <c r="C78" t="s">
        <v>85</v>
      </c>
      <c r="D78" t="s">
        <v>349</v>
      </c>
      <c r="E78" t="s">
        <v>388</v>
      </c>
      <c r="F78" t="s">
        <v>305</v>
      </c>
      <c r="G78" t="s">
        <v>361</v>
      </c>
      <c r="H78" t="s">
        <v>35</v>
      </c>
      <c r="I78" t="s">
        <v>300</v>
      </c>
      <c r="J78" t="s">
        <v>389</v>
      </c>
      <c r="K78" t="s">
        <v>353</v>
      </c>
      <c r="L78" t="s">
        <v>390</v>
      </c>
      <c r="M78" t="s">
        <v>301</v>
      </c>
      <c r="N78" t="s">
        <v>246</v>
      </c>
      <c r="O78" t="s">
        <v>367</v>
      </c>
      <c r="P78" t="s">
        <v>141</v>
      </c>
      <c r="Q78" t="s">
        <v>391</v>
      </c>
      <c r="R78" t="s">
        <v>344</v>
      </c>
      <c r="S78" t="s">
        <v>241</v>
      </c>
      <c r="T78" t="s">
        <v>314</v>
      </c>
      <c r="U78" t="s">
        <v>214</v>
      </c>
      <c r="V78" t="s">
        <v>170</v>
      </c>
      <c r="W78" t="s">
        <v>267</v>
      </c>
      <c r="X78" t="s">
        <v>238</v>
      </c>
      <c r="Y78" t="s">
        <v>39</v>
      </c>
      <c r="Z78" t="s">
        <v>160</v>
      </c>
      <c r="AA78" t="s">
        <v>187</v>
      </c>
      <c r="AB78" t="s">
        <v>174</v>
      </c>
      <c r="AC78" t="s">
        <v>115</v>
      </c>
      <c r="AD78" t="s">
        <v>239</v>
      </c>
    </row>
    <row r="79" spans="1:30" x14ac:dyDescent="0.35">
      <c r="A79" t="s">
        <v>73</v>
      </c>
      <c r="B79">
        <v>2015</v>
      </c>
      <c r="C79" t="s">
        <v>85</v>
      </c>
      <c r="D79" t="s">
        <v>141</v>
      </c>
      <c r="E79" t="s">
        <v>353</v>
      </c>
      <c r="F79" t="s">
        <v>299</v>
      </c>
      <c r="G79" t="s">
        <v>365</v>
      </c>
      <c r="H79" t="s">
        <v>56</v>
      </c>
      <c r="I79" t="s">
        <v>303</v>
      </c>
      <c r="J79" t="s">
        <v>384</v>
      </c>
      <c r="K79" t="s">
        <v>291</v>
      </c>
      <c r="L79" t="s">
        <v>392</v>
      </c>
      <c r="M79" t="s">
        <v>300</v>
      </c>
      <c r="N79" t="s">
        <v>148</v>
      </c>
      <c r="O79" t="s">
        <v>371</v>
      </c>
      <c r="P79" t="s">
        <v>307</v>
      </c>
      <c r="Q79" t="s">
        <v>348</v>
      </c>
      <c r="R79" t="s">
        <v>318</v>
      </c>
      <c r="S79" t="s">
        <v>152</v>
      </c>
      <c r="T79" t="s">
        <v>317</v>
      </c>
      <c r="U79" t="s">
        <v>214</v>
      </c>
      <c r="V79" t="s">
        <v>267</v>
      </c>
      <c r="W79" t="s">
        <v>239</v>
      </c>
      <c r="X79" t="s">
        <v>208</v>
      </c>
      <c r="Y79" t="s">
        <v>87</v>
      </c>
      <c r="Z79" t="s">
        <v>160</v>
      </c>
      <c r="AA79" t="s">
        <v>306</v>
      </c>
      <c r="AB79" t="s">
        <v>119</v>
      </c>
      <c r="AC79" t="s">
        <v>238</v>
      </c>
      <c r="AD79" t="s">
        <v>306</v>
      </c>
    </row>
    <row r="80" spans="1:30" x14ac:dyDescent="0.35">
      <c r="A80" t="s">
        <v>30</v>
      </c>
      <c r="B80">
        <v>2015</v>
      </c>
      <c r="C80" t="s">
        <v>107</v>
      </c>
      <c r="D80" t="s">
        <v>317</v>
      </c>
      <c r="E80" t="s">
        <v>325</v>
      </c>
      <c r="F80" t="s">
        <v>213</v>
      </c>
      <c r="G80" t="s">
        <v>393</v>
      </c>
      <c r="H80" t="s">
        <v>229</v>
      </c>
      <c r="I80" t="s">
        <v>394</v>
      </c>
      <c r="J80" t="s">
        <v>379</v>
      </c>
      <c r="K80" t="s">
        <v>272</v>
      </c>
      <c r="L80" t="s">
        <v>395</v>
      </c>
      <c r="M80" t="s">
        <v>266</v>
      </c>
      <c r="N80" t="s">
        <v>213</v>
      </c>
      <c r="O80" t="s">
        <v>301</v>
      </c>
      <c r="P80" t="s">
        <v>307</v>
      </c>
      <c r="Q80" t="s">
        <v>325</v>
      </c>
      <c r="R80" t="s">
        <v>393</v>
      </c>
      <c r="S80" t="s">
        <v>237</v>
      </c>
      <c r="T80" t="s">
        <v>287</v>
      </c>
      <c r="U80" t="s">
        <v>48</v>
      </c>
      <c r="V80" t="s">
        <v>314</v>
      </c>
      <c r="W80" t="s">
        <v>224</v>
      </c>
      <c r="X80" t="s">
        <v>289</v>
      </c>
      <c r="Y80" t="s">
        <v>133</v>
      </c>
      <c r="Z80" t="s">
        <v>212</v>
      </c>
      <c r="AA80" t="s">
        <v>266</v>
      </c>
      <c r="AB80" t="s">
        <v>184</v>
      </c>
      <c r="AC80" t="s">
        <v>212</v>
      </c>
      <c r="AD80" t="s">
        <v>299</v>
      </c>
    </row>
    <row r="81" spans="1:30" x14ac:dyDescent="0.35">
      <c r="A81" t="s">
        <v>54</v>
      </c>
      <c r="B81">
        <v>2015</v>
      </c>
      <c r="C81" t="s">
        <v>107</v>
      </c>
      <c r="D81" t="s">
        <v>357</v>
      </c>
      <c r="E81" t="s">
        <v>162</v>
      </c>
      <c r="F81" t="s">
        <v>220</v>
      </c>
      <c r="G81" t="s">
        <v>308</v>
      </c>
      <c r="H81" t="s">
        <v>41</v>
      </c>
      <c r="I81" t="s">
        <v>318</v>
      </c>
      <c r="J81" t="s">
        <v>396</v>
      </c>
      <c r="K81" t="s">
        <v>397</v>
      </c>
      <c r="L81" t="s">
        <v>398</v>
      </c>
      <c r="M81" t="s">
        <v>380</v>
      </c>
      <c r="N81" t="s">
        <v>151</v>
      </c>
      <c r="O81" t="s">
        <v>165</v>
      </c>
      <c r="P81" t="s">
        <v>257</v>
      </c>
      <c r="Q81" t="s">
        <v>358</v>
      </c>
      <c r="R81" t="s">
        <v>288</v>
      </c>
      <c r="S81" t="s">
        <v>95</v>
      </c>
      <c r="T81" t="s">
        <v>291</v>
      </c>
      <c r="U81" t="s">
        <v>200</v>
      </c>
      <c r="V81" t="s">
        <v>231</v>
      </c>
      <c r="W81" t="s">
        <v>148</v>
      </c>
      <c r="X81" t="s">
        <v>183</v>
      </c>
      <c r="Y81" t="s">
        <v>74</v>
      </c>
      <c r="Z81" t="s">
        <v>138</v>
      </c>
      <c r="AA81" t="s">
        <v>314</v>
      </c>
      <c r="AB81" t="s">
        <v>142</v>
      </c>
      <c r="AC81" t="s">
        <v>159</v>
      </c>
      <c r="AD81" t="s">
        <v>201</v>
      </c>
    </row>
    <row r="82" spans="1:30" x14ac:dyDescent="0.35">
      <c r="A82" t="s">
        <v>73</v>
      </c>
      <c r="B82">
        <v>2015</v>
      </c>
      <c r="C82" t="s">
        <v>107</v>
      </c>
      <c r="D82" t="s">
        <v>253</v>
      </c>
      <c r="E82" t="s">
        <v>346</v>
      </c>
      <c r="F82" t="s">
        <v>246</v>
      </c>
      <c r="G82" t="s">
        <v>393</v>
      </c>
      <c r="H82" t="s">
        <v>86</v>
      </c>
      <c r="I82" t="s">
        <v>371</v>
      </c>
      <c r="J82" t="s">
        <v>165</v>
      </c>
      <c r="K82" t="s">
        <v>311</v>
      </c>
      <c r="L82" t="s">
        <v>399</v>
      </c>
      <c r="M82" t="s">
        <v>279</v>
      </c>
      <c r="N82" t="s">
        <v>214</v>
      </c>
      <c r="O82" t="s">
        <v>400</v>
      </c>
      <c r="P82" t="s">
        <v>322</v>
      </c>
      <c r="Q82" t="s">
        <v>303</v>
      </c>
      <c r="R82" t="s">
        <v>349</v>
      </c>
      <c r="S82" t="s">
        <v>187</v>
      </c>
      <c r="T82" t="s">
        <v>141</v>
      </c>
      <c r="U82" t="s">
        <v>200</v>
      </c>
      <c r="V82" t="s">
        <v>186</v>
      </c>
      <c r="W82" t="s">
        <v>169</v>
      </c>
      <c r="X82" t="s">
        <v>252</v>
      </c>
      <c r="Y82" t="s">
        <v>109</v>
      </c>
      <c r="Z82" t="s">
        <v>138</v>
      </c>
      <c r="AA82" t="s">
        <v>152</v>
      </c>
      <c r="AB82" t="s">
        <v>149</v>
      </c>
      <c r="AC82" t="s">
        <v>181</v>
      </c>
      <c r="AD82" t="s">
        <v>224</v>
      </c>
    </row>
    <row r="83" spans="1:30" x14ac:dyDescent="0.35">
      <c r="A83" t="s">
        <v>30</v>
      </c>
      <c r="B83">
        <v>2015</v>
      </c>
      <c r="C83" t="s">
        <v>123</v>
      </c>
      <c r="D83" t="s">
        <v>317</v>
      </c>
      <c r="E83" t="s">
        <v>287</v>
      </c>
      <c r="F83" t="s">
        <v>193</v>
      </c>
      <c r="G83" t="s">
        <v>387</v>
      </c>
      <c r="H83" t="s">
        <v>178</v>
      </c>
      <c r="I83" t="s">
        <v>401</v>
      </c>
      <c r="J83" t="s">
        <v>402</v>
      </c>
      <c r="K83" t="s">
        <v>281</v>
      </c>
      <c r="L83" t="s">
        <v>370</v>
      </c>
      <c r="M83" t="s">
        <v>210</v>
      </c>
      <c r="N83" t="s">
        <v>266</v>
      </c>
      <c r="O83" t="s">
        <v>403</v>
      </c>
      <c r="P83" t="s">
        <v>374</v>
      </c>
      <c r="Q83" t="s">
        <v>365</v>
      </c>
      <c r="R83" t="s">
        <v>319</v>
      </c>
      <c r="S83" t="s">
        <v>317</v>
      </c>
      <c r="T83" t="s">
        <v>393</v>
      </c>
      <c r="U83" t="s">
        <v>48</v>
      </c>
      <c r="V83" t="s">
        <v>258</v>
      </c>
      <c r="W83" t="s">
        <v>291</v>
      </c>
      <c r="X83" t="s">
        <v>200</v>
      </c>
      <c r="Y83" t="s">
        <v>178</v>
      </c>
      <c r="Z83" t="s">
        <v>227</v>
      </c>
      <c r="AA83" t="s">
        <v>272</v>
      </c>
      <c r="AB83" t="s">
        <v>133</v>
      </c>
      <c r="AC83" t="s">
        <v>218</v>
      </c>
      <c r="AD83" t="s">
        <v>281</v>
      </c>
    </row>
    <row r="84" spans="1:30" x14ac:dyDescent="0.35">
      <c r="A84" t="s">
        <v>54</v>
      </c>
      <c r="B84">
        <v>2015</v>
      </c>
      <c r="C84" t="s">
        <v>123</v>
      </c>
      <c r="D84" t="s">
        <v>318</v>
      </c>
      <c r="E84" t="s">
        <v>385</v>
      </c>
      <c r="F84" t="s">
        <v>76</v>
      </c>
      <c r="G84" t="s">
        <v>294</v>
      </c>
      <c r="H84" t="s">
        <v>83</v>
      </c>
      <c r="I84" t="s">
        <v>404</v>
      </c>
      <c r="J84" t="s">
        <v>405</v>
      </c>
      <c r="K84" t="s">
        <v>406</v>
      </c>
      <c r="L84" t="s">
        <v>407</v>
      </c>
      <c r="M84" t="s">
        <v>301</v>
      </c>
      <c r="N84" t="s">
        <v>193</v>
      </c>
      <c r="O84" t="s">
        <v>408</v>
      </c>
      <c r="P84" t="s">
        <v>354</v>
      </c>
      <c r="Q84" t="s">
        <v>409</v>
      </c>
      <c r="R84" t="s">
        <v>279</v>
      </c>
      <c r="S84" t="s">
        <v>193</v>
      </c>
      <c r="T84" t="s">
        <v>344</v>
      </c>
      <c r="U84" t="s">
        <v>169</v>
      </c>
      <c r="V84" t="s">
        <v>181</v>
      </c>
      <c r="W84" t="s">
        <v>243</v>
      </c>
      <c r="X84" t="s">
        <v>126</v>
      </c>
      <c r="Y84" t="s">
        <v>74</v>
      </c>
      <c r="Z84" t="s">
        <v>192</v>
      </c>
      <c r="AA84" t="s">
        <v>288</v>
      </c>
      <c r="AB84" t="s">
        <v>229</v>
      </c>
      <c r="AC84" t="s">
        <v>139</v>
      </c>
      <c r="AD84" t="s">
        <v>306</v>
      </c>
    </row>
    <row r="85" spans="1:30" x14ac:dyDescent="0.35">
      <c r="A85" t="s">
        <v>73</v>
      </c>
      <c r="B85">
        <v>2015</v>
      </c>
      <c r="C85" t="s">
        <v>123</v>
      </c>
      <c r="D85" t="s">
        <v>253</v>
      </c>
      <c r="E85" t="s">
        <v>319</v>
      </c>
      <c r="F85" t="s">
        <v>231</v>
      </c>
      <c r="G85" t="s">
        <v>340</v>
      </c>
      <c r="H85" t="s">
        <v>86</v>
      </c>
      <c r="I85" t="s">
        <v>410</v>
      </c>
      <c r="J85" t="s">
        <v>367</v>
      </c>
      <c r="K85" t="s">
        <v>331</v>
      </c>
      <c r="L85" t="s">
        <v>411</v>
      </c>
      <c r="M85" t="s">
        <v>311</v>
      </c>
      <c r="N85" t="s">
        <v>295</v>
      </c>
      <c r="O85" t="s">
        <v>315</v>
      </c>
      <c r="P85" t="s">
        <v>357</v>
      </c>
      <c r="Q85" t="s">
        <v>364</v>
      </c>
      <c r="R85" t="s">
        <v>325</v>
      </c>
      <c r="S85" t="s">
        <v>219</v>
      </c>
      <c r="T85" t="s">
        <v>264</v>
      </c>
      <c r="U85" t="s">
        <v>169</v>
      </c>
      <c r="V85" t="s">
        <v>239</v>
      </c>
      <c r="W85" t="s">
        <v>306</v>
      </c>
      <c r="X85" t="s">
        <v>221</v>
      </c>
      <c r="Y85" t="s">
        <v>175</v>
      </c>
      <c r="Z85" t="s">
        <v>244</v>
      </c>
      <c r="AA85" t="s">
        <v>285</v>
      </c>
      <c r="AB85" t="s">
        <v>174</v>
      </c>
      <c r="AC85" t="s">
        <v>273</v>
      </c>
      <c r="AD85" t="s">
        <v>275</v>
      </c>
    </row>
    <row r="86" spans="1:30" x14ac:dyDescent="0.35">
      <c r="A86" t="s">
        <v>30</v>
      </c>
      <c r="B86">
        <v>2015</v>
      </c>
      <c r="C86" t="s">
        <v>136</v>
      </c>
      <c r="D86" t="s">
        <v>253</v>
      </c>
      <c r="E86" t="s">
        <v>323</v>
      </c>
      <c r="F86" t="s">
        <v>226</v>
      </c>
      <c r="G86" t="s">
        <v>301</v>
      </c>
      <c r="H86" t="s">
        <v>153</v>
      </c>
      <c r="I86" t="s">
        <v>412</v>
      </c>
      <c r="J86" t="s">
        <v>249</v>
      </c>
      <c r="K86" t="s">
        <v>349</v>
      </c>
      <c r="L86" t="s">
        <v>413</v>
      </c>
      <c r="M86" t="s">
        <v>275</v>
      </c>
      <c r="N86" t="s">
        <v>224</v>
      </c>
      <c r="O86" t="s">
        <v>342</v>
      </c>
      <c r="P86" t="s">
        <v>337</v>
      </c>
      <c r="Q86" t="s">
        <v>162</v>
      </c>
      <c r="R86" t="s">
        <v>332</v>
      </c>
      <c r="S86" t="s">
        <v>264</v>
      </c>
      <c r="T86" t="s">
        <v>387</v>
      </c>
      <c r="U86" t="s">
        <v>48</v>
      </c>
      <c r="V86" t="s">
        <v>269</v>
      </c>
      <c r="W86" t="s">
        <v>281</v>
      </c>
      <c r="X86" t="s">
        <v>266</v>
      </c>
      <c r="Y86" t="s">
        <v>222</v>
      </c>
      <c r="Z86" t="s">
        <v>252</v>
      </c>
      <c r="AA86" t="s">
        <v>248</v>
      </c>
      <c r="AB86" t="s">
        <v>144</v>
      </c>
      <c r="AC86" t="s">
        <v>95</v>
      </c>
      <c r="AD86" t="s">
        <v>311</v>
      </c>
    </row>
    <row r="87" spans="1:30" x14ac:dyDescent="0.35">
      <c r="A87" t="s">
        <v>54</v>
      </c>
      <c r="B87">
        <v>2015</v>
      </c>
      <c r="C87" t="s">
        <v>136</v>
      </c>
      <c r="D87" t="s">
        <v>318</v>
      </c>
      <c r="E87" t="s">
        <v>328</v>
      </c>
      <c r="F87" t="s">
        <v>142</v>
      </c>
      <c r="G87" t="s">
        <v>340</v>
      </c>
      <c r="H87" t="s">
        <v>64</v>
      </c>
      <c r="I87" t="s">
        <v>405</v>
      </c>
      <c r="J87" t="s">
        <v>414</v>
      </c>
      <c r="K87" t="s">
        <v>415</v>
      </c>
      <c r="L87" t="s">
        <v>416</v>
      </c>
      <c r="M87" t="s">
        <v>358</v>
      </c>
      <c r="N87" t="s">
        <v>267</v>
      </c>
      <c r="O87" t="s">
        <v>260</v>
      </c>
      <c r="P87" t="s">
        <v>292</v>
      </c>
      <c r="Q87" t="s">
        <v>406</v>
      </c>
      <c r="R87" t="s">
        <v>311</v>
      </c>
      <c r="S87" t="s">
        <v>232</v>
      </c>
      <c r="T87" t="s">
        <v>300</v>
      </c>
      <c r="U87" t="s">
        <v>191</v>
      </c>
      <c r="V87" t="s">
        <v>160</v>
      </c>
      <c r="W87" t="s">
        <v>239</v>
      </c>
      <c r="X87" t="s">
        <v>160</v>
      </c>
      <c r="Y87" t="s">
        <v>184</v>
      </c>
      <c r="Z87" t="s">
        <v>218</v>
      </c>
      <c r="AA87" t="s">
        <v>259</v>
      </c>
      <c r="AB87" t="s">
        <v>155</v>
      </c>
      <c r="AC87" t="s">
        <v>255</v>
      </c>
      <c r="AD87" t="s">
        <v>275</v>
      </c>
    </row>
    <row r="88" spans="1:30" x14ac:dyDescent="0.35">
      <c r="A88" t="s">
        <v>73</v>
      </c>
      <c r="B88">
        <v>2015</v>
      </c>
      <c r="C88" t="s">
        <v>136</v>
      </c>
      <c r="D88" t="s">
        <v>374</v>
      </c>
      <c r="E88" t="s">
        <v>379</v>
      </c>
      <c r="F88" t="s">
        <v>158</v>
      </c>
      <c r="G88" t="s">
        <v>332</v>
      </c>
      <c r="H88" t="s">
        <v>117</v>
      </c>
      <c r="I88" t="s">
        <v>417</v>
      </c>
      <c r="J88" t="s">
        <v>394</v>
      </c>
      <c r="K88" t="s">
        <v>418</v>
      </c>
      <c r="L88" t="s">
        <v>419</v>
      </c>
      <c r="M88" t="s">
        <v>322</v>
      </c>
      <c r="N88" t="s">
        <v>169</v>
      </c>
      <c r="O88" t="s">
        <v>342</v>
      </c>
      <c r="P88" t="s">
        <v>302</v>
      </c>
      <c r="Q88" t="s">
        <v>420</v>
      </c>
      <c r="R88" t="s">
        <v>346</v>
      </c>
      <c r="S88" t="s">
        <v>344</v>
      </c>
      <c r="T88" t="s">
        <v>325</v>
      </c>
      <c r="U88" t="s">
        <v>191</v>
      </c>
      <c r="V88" t="s">
        <v>169</v>
      </c>
      <c r="W88" t="s">
        <v>224</v>
      </c>
      <c r="X88" t="s">
        <v>267</v>
      </c>
      <c r="Y88" t="s">
        <v>205</v>
      </c>
      <c r="Z88" t="s">
        <v>208</v>
      </c>
      <c r="AA88" t="s">
        <v>280</v>
      </c>
      <c r="AB88" t="s">
        <v>144</v>
      </c>
      <c r="AC88" t="s">
        <v>276</v>
      </c>
      <c r="AD88" t="s">
        <v>300</v>
      </c>
    </row>
    <row r="89" spans="1:30" x14ac:dyDescent="0.35">
      <c r="A89" t="s">
        <v>30</v>
      </c>
      <c r="B89">
        <v>2015</v>
      </c>
      <c r="C89" t="s">
        <v>146</v>
      </c>
      <c r="D89" t="s">
        <v>264</v>
      </c>
      <c r="E89" t="s">
        <v>375</v>
      </c>
      <c r="F89" t="s">
        <v>279</v>
      </c>
      <c r="G89" t="s">
        <v>403</v>
      </c>
      <c r="H89" t="s">
        <v>238</v>
      </c>
      <c r="I89" t="s">
        <v>421</v>
      </c>
      <c r="J89" t="s">
        <v>422</v>
      </c>
      <c r="K89" t="s">
        <v>423</v>
      </c>
      <c r="L89" t="s">
        <v>282</v>
      </c>
      <c r="M89" t="s">
        <v>336</v>
      </c>
      <c r="N89" t="s">
        <v>299</v>
      </c>
      <c r="O89" t="s">
        <v>309</v>
      </c>
      <c r="P89" t="s">
        <v>340</v>
      </c>
      <c r="Q89" t="s">
        <v>385</v>
      </c>
      <c r="R89" t="s">
        <v>400</v>
      </c>
      <c r="S89" t="s">
        <v>353</v>
      </c>
      <c r="T89" t="s">
        <v>379</v>
      </c>
      <c r="U89" t="s">
        <v>48</v>
      </c>
      <c r="V89" t="s">
        <v>234</v>
      </c>
      <c r="W89" t="s">
        <v>327</v>
      </c>
      <c r="X89" t="s">
        <v>187</v>
      </c>
      <c r="Y89" t="s">
        <v>139</v>
      </c>
      <c r="Z89" t="s">
        <v>277</v>
      </c>
      <c r="AA89" t="s">
        <v>259</v>
      </c>
      <c r="AB89" t="s">
        <v>57</v>
      </c>
      <c r="AC89" t="s">
        <v>277</v>
      </c>
      <c r="AD89" t="s">
        <v>264</v>
      </c>
    </row>
    <row r="90" spans="1:30" x14ac:dyDescent="0.35">
      <c r="A90" t="s">
        <v>54</v>
      </c>
      <c r="B90">
        <v>2015</v>
      </c>
      <c r="C90" t="s">
        <v>146</v>
      </c>
      <c r="D90" t="s">
        <v>374</v>
      </c>
      <c r="E90" t="s">
        <v>377</v>
      </c>
      <c r="F90" t="s">
        <v>291</v>
      </c>
      <c r="G90" t="s">
        <v>332</v>
      </c>
      <c r="H90" t="s">
        <v>79</v>
      </c>
      <c r="I90" t="s">
        <v>376</v>
      </c>
      <c r="J90" t="s">
        <v>424</v>
      </c>
      <c r="K90" t="s">
        <v>425</v>
      </c>
      <c r="L90" t="s">
        <v>426</v>
      </c>
      <c r="M90" t="s">
        <v>418</v>
      </c>
      <c r="N90" t="s">
        <v>148</v>
      </c>
      <c r="O90" t="s">
        <v>418</v>
      </c>
      <c r="P90" t="s">
        <v>249</v>
      </c>
      <c r="Q90" t="s">
        <v>313</v>
      </c>
      <c r="R90" t="s">
        <v>351</v>
      </c>
      <c r="S90" t="s">
        <v>290</v>
      </c>
      <c r="T90" t="s">
        <v>341</v>
      </c>
      <c r="U90" t="s">
        <v>262</v>
      </c>
      <c r="V90" t="s">
        <v>273</v>
      </c>
      <c r="W90" t="s">
        <v>169</v>
      </c>
      <c r="X90" t="s">
        <v>138</v>
      </c>
      <c r="Y90" t="s">
        <v>174</v>
      </c>
      <c r="Z90" t="s">
        <v>227</v>
      </c>
      <c r="AA90" t="s">
        <v>318</v>
      </c>
      <c r="AB90" t="s">
        <v>153</v>
      </c>
      <c r="AC90" t="s">
        <v>218</v>
      </c>
      <c r="AD90" t="s">
        <v>288</v>
      </c>
    </row>
    <row r="91" spans="1:30" x14ac:dyDescent="0.35">
      <c r="A91" t="s">
        <v>73</v>
      </c>
      <c r="B91">
        <v>2015</v>
      </c>
      <c r="C91" t="s">
        <v>146</v>
      </c>
      <c r="D91" t="s">
        <v>257</v>
      </c>
      <c r="E91" t="s">
        <v>389</v>
      </c>
      <c r="F91" t="s">
        <v>300</v>
      </c>
      <c r="G91" t="s">
        <v>385</v>
      </c>
      <c r="H91" t="s">
        <v>143</v>
      </c>
      <c r="I91" t="s">
        <v>427</v>
      </c>
      <c r="J91" t="s">
        <v>428</v>
      </c>
      <c r="K91" t="s">
        <v>429</v>
      </c>
      <c r="L91" t="s">
        <v>430</v>
      </c>
      <c r="M91" t="s">
        <v>287</v>
      </c>
      <c r="N91" t="s">
        <v>210</v>
      </c>
      <c r="O91" t="s">
        <v>394</v>
      </c>
      <c r="P91" t="s">
        <v>332</v>
      </c>
      <c r="Q91" t="s">
        <v>165</v>
      </c>
      <c r="R91" t="s">
        <v>319</v>
      </c>
      <c r="S91" t="s">
        <v>259</v>
      </c>
      <c r="T91" t="s">
        <v>365</v>
      </c>
      <c r="U91" t="s">
        <v>262</v>
      </c>
      <c r="V91" t="s">
        <v>210</v>
      </c>
      <c r="W91" t="s">
        <v>299</v>
      </c>
      <c r="X91" t="s">
        <v>295</v>
      </c>
      <c r="Y91" t="s">
        <v>94</v>
      </c>
      <c r="Z91" t="s">
        <v>95</v>
      </c>
      <c r="AA91" t="s">
        <v>307</v>
      </c>
      <c r="AB91" t="s">
        <v>101</v>
      </c>
      <c r="AC91" t="s">
        <v>151</v>
      </c>
      <c r="AD91" t="s">
        <v>336</v>
      </c>
    </row>
    <row r="92" spans="1:30" x14ac:dyDescent="0.35">
      <c r="A92" t="s">
        <v>30</v>
      </c>
      <c r="B92">
        <v>2015</v>
      </c>
      <c r="C92" t="s">
        <v>163</v>
      </c>
      <c r="D92" t="s">
        <v>357</v>
      </c>
      <c r="E92" t="s">
        <v>431</v>
      </c>
      <c r="F92" t="s">
        <v>259</v>
      </c>
      <c r="G92" t="s">
        <v>403</v>
      </c>
      <c r="H92" t="s">
        <v>220</v>
      </c>
      <c r="I92" t="s">
        <v>432</v>
      </c>
      <c r="J92" t="s">
        <v>433</v>
      </c>
      <c r="K92" t="s">
        <v>434</v>
      </c>
      <c r="L92" t="s">
        <v>430</v>
      </c>
      <c r="M92" t="s">
        <v>322</v>
      </c>
      <c r="N92" t="s">
        <v>285</v>
      </c>
      <c r="O92" t="s">
        <v>435</v>
      </c>
      <c r="P92" t="s">
        <v>402</v>
      </c>
      <c r="Q92" t="s">
        <v>384</v>
      </c>
      <c r="R92" t="s">
        <v>358</v>
      </c>
      <c r="S92" t="s">
        <v>287</v>
      </c>
      <c r="T92" t="s">
        <v>312</v>
      </c>
      <c r="U92" t="s">
        <v>48</v>
      </c>
      <c r="V92" t="s">
        <v>336</v>
      </c>
      <c r="W92" t="s">
        <v>336</v>
      </c>
      <c r="X92" t="s">
        <v>219</v>
      </c>
      <c r="Y92" t="s">
        <v>238</v>
      </c>
      <c r="Z92" t="s">
        <v>148</v>
      </c>
      <c r="AA92" t="s">
        <v>237</v>
      </c>
      <c r="AB92" t="s">
        <v>188</v>
      </c>
      <c r="AC92" t="s">
        <v>214</v>
      </c>
      <c r="AD92" t="s">
        <v>325</v>
      </c>
    </row>
    <row r="93" spans="1:30" x14ac:dyDescent="0.35">
      <c r="A93" t="s">
        <v>54</v>
      </c>
      <c r="B93">
        <v>2015</v>
      </c>
      <c r="C93" t="s">
        <v>163</v>
      </c>
      <c r="D93" t="s">
        <v>351</v>
      </c>
      <c r="E93" t="s">
        <v>436</v>
      </c>
      <c r="F93" t="s">
        <v>305</v>
      </c>
      <c r="G93" t="s">
        <v>301</v>
      </c>
      <c r="H93" t="s">
        <v>33</v>
      </c>
      <c r="I93" t="s">
        <v>427</v>
      </c>
      <c r="J93" t="s">
        <v>437</v>
      </c>
      <c r="K93" t="s">
        <v>438</v>
      </c>
      <c r="L93" t="s">
        <v>439</v>
      </c>
      <c r="M93" t="s">
        <v>431</v>
      </c>
      <c r="N93" t="s">
        <v>186</v>
      </c>
      <c r="O93" t="s">
        <v>338</v>
      </c>
      <c r="P93" t="s">
        <v>408</v>
      </c>
      <c r="Q93" t="s">
        <v>440</v>
      </c>
      <c r="R93" t="s">
        <v>253</v>
      </c>
      <c r="S93" t="s">
        <v>277</v>
      </c>
      <c r="T93" t="s">
        <v>296</v>
      </c>
      <c r="U93" t="s">
        <v>272</v>
      </c>
      <c r="V93" t="s">
        <v>268</v>
      </c>
      <c r="W93" t="s">
        <v>305</v>
      </c>
      <c r="X93" t="s">
        <v>218</v>
      </c>
      <c r="Y93" t="s">
        <v>256</v>
      </c>
      <c r="Z93" t="s">
        <v>195</v>
      </c>
      <c r="AA93" t="s">
        <v>346</v>
      </c>
      <c r="AB93" t="s">
        <v>174</v>
      </c>
      <c r="AC93" t="s">
        <v>208</v>
      </c>
      <c r="AD93" t="s">
        <v>311</v>
      </c>
    </row>
    <row r="94" spans="1:30" x14ac:dyDescent="0.35">
      <c r="A94" t="s">
        <v>73</v>
      </c>
      <c r="B94">
        <v>2015</v>
      </c>
      <c r="C94" t="s">
        <v>163</v>
      </c>
      <c r="D94" t="s">
        <v>141</v>
      </c>
      <c r="E94" t="s">
        <v>410</v>
      </c>
      <c r="F94" t="s">
        <v>285</v>
      </c>
      <c r="G94" t="s">
        <v>312</v>
      </c>
      <c r="H94" t="s">
        <v>134</v>
      </c>
      <c r="I94" t="s">
        <v>440</v>
      </c>
      <c r="J94" t="s">
        <v>441</v>
      </c>
      <c r="K94" t="s">
        <v>428</v>
      </c>
      <c r="L94" t="s">
        <v>442</v>
      </c>
      <c r="M94" t="s">
        <v>292</v>
      </c>
      <c r="N94" t="s">
        <v>272</v>
      </c>
      <c r="O94" t="s">
        <v>396</v>
      </c>
      <c r="P94" t="s">
        <v>385</v>
      </c>
      <c r="Q94" t="s">
        <v>375</v>
      </c>
      <c r="R94" t="s">
        <v>162</v>
      </c>
      <c r="S94" t="s">
        <v>341</v>
      </c>
      <c r="T94" t="s">
        <v>292</v>
      </c>
      <c r="U94" t="s">
        <v>272</v>
      </c>
      <c r="V94" t="s">
        <v>152</v>
      </c>
      <c r="W94" t="s">
        <v>344</v>
      </c>
      <c r="X94" t="s">
        <v>262</v>
      </c>
      <c r="Y94" t="s">
        <v>188</v>
      </c>
      <c r="Z94" t="s">
        <v>193</v>
      </c>
      <c r="AA94" t="s">
        <v>337</v>
      </c>
      <c r="AB94" t="s">
        <v>144</v>
      </c>
      <c r="AC94" t="s">
        <v>193</v>
      </c>
      <c r="AD94" t="s">
        <v>374</v>
      </c>
    </row>
    <row r="95" spans="1:30" x14ac:dyDescent="0.35">
      <c r="A95" t="s">
        <v>30</v>
      </c>
      <c r="B95">
        <v>2015</v>
      </c>
      <c r="C95" t="s">
        <v>182</v>
      </c>
      <c r="D95" t="s">
        <v>325</v>
      </c>
      <c r="E95" t="s">
        <v>406</v>
      </c>
      <c r="F95" t="s">
        <v>344</v>
      </c>
      <c r="G95" t="s">
        <v>358</v>
      </c>
      <c r="H95" t="s">
        <v>170</v>
      </c>
      <c r="I95" t="s">
        <v>401</v>
      </c>
      <c r="J95" t="s">
        <v>443</v>
      </c>
      <c r="K95" t="s">
        <v>444</v>
      </c>
      <c r="L95" t="s">
        <v>445</v>
      </c>
      <c r="M95" t="s">
        <v>257</v>
      </c>
      <c r="N95" t="s">
        <v>281</v>
      </c>
      <c r="O95" t="s">
        <v>410</v>
      </c>
      <c r="P95" t="s">
        <v>342</v>
      </c>
      <c r="Q95" t="s">
        <v>409</v>
      </c>
      <c r="R95" t="s">
        <v>408</v>
      </c>
      <c r="S95" t="s">
        <v>294</v>
      </c>
      <c r="T95" t="s">
        <v>446</v>
      </c>
      <c r="U95" t="s">
        <v>48</v>
      </c>
      <c r="V95" t="s">
        <v>318</v>
      </c>
      <c r="W95" t="s">
        <v>141</v>
      </c>
      <c r="X95" t="s">
        <v>299</v>
      </c>
      <c r="Y95" t="s">
        <v>211</v>
      </c>
      <c r="Z95" t="s">
        <v>295</v>
      </c>
      <c r="AA95" t="s">
        <v>374</v>
      </c>
      <c r="AB95" t="s">
        <v>153</v>
      </c>
      <c r="AC95" t="s">
        <v>289</v>
      </c>
      <c r="AD95" t="s">
        <v>292</v>
      </c>
    </row>
    <row r="96" spans="1:30" x14ac:dyDescent="0.35">
      <c r="A96" t="s">
        <v>54</v>
      </c>
      <c r="B96">
        <v>2015</v>
      </c>
      <c r="C96" t="s">
        <v>182</v>
      </c>
      <c r="D96" t="s">
        <v>307</v>
      </c>
      <c r="E96" t="s">
        <v>435</v>
      </c>
      <c r="F96" t="s">
        <v>214</v>
      </c>
      <c r="G96" t="s">
        <v>379</v>
      </c>
      <c r="H96" t="s">
        <v>39</v>
      </c>
      <c r="I96" t="s">
        <v>409</v>
      </c>
      <c r="J96" t="s">
        <v>447</v>
      </c>
      <c r="K96" t="s">
        <v>448</v>
      </c>
      <c r="L96" t="s">
        <v>449</v>
      </c>
      <c r="M96" t="s">
        <v>333</v>
      </c>
      <c r="N96" t="s">
        <v>263</v>
      </c>
      <c r="O96" t="s">
        <v>435</v>
      </c>
      <c r="P96" t="s">
        <v>338</v>
      </c>
      <c r="Q96" t="s">
        <v>401</v>
      </c>
      <c r="R96" t="s">
        <v>141</v>
      </c>
      <c r="S96" t="s">
        <v>289</v>
      </c>
      <c r="T96" t="s">
        <v>237</v>
      </c>
      <c r="U96" t="s">
        <v>291</v>
      </c>
      <c r="V96" t="s">
        <v>268</v>
      </c>
      <c r="W96" t="s">
        <v>298</v>
      </c>
      <c r="X96" t="s">
        <v>195</v>
      </c>
      <c r="Y96" t="s">
        <v>109</v>
      </c>
      <c r="Z96" t="s">
        <v>193</v>
      </c>
      <c r="AA96" t="s">
        <v>381</v>
      </c>
      <c r="AB96" t="s">
        <v>205</v>
      </c>
      <c r="AC96" t="s">
        <v>227</v>
      </c>
      <c r="AD96" t="s">
        <v>351</v>
      </c>
    </row>
    <row r="97" spans="1:30" x14ac:dyDescent="0.35">
      <c r="A97" t="s">
        <v>73</v>
      </c>
      <c r="B97">
        <v>2015</v>
      </c>
      <c r="C97" t="s">
        <v>182</v>
      </c>
      <c r="D97" t="s">
        <v>345</v>
      </c>
      <c r="E97" t="s">
        <v>396</v>
      </c>
      <c r="F97" t="s">
        <v>152</v>
      </c>
      <c r="G97" t="s">
        <v>249</v>
      </c>
      <c r="H97" t="s">
        <v>114</v>
      </c>
      <c r="I97" t="s">
        <v>376</v>
      </c>
      <c r="J97" t="s">
        <v>450</v>
      </c>
      <c r="K97" t="s">
        <v>451</v>
      </c>
      <c r="L97" t="s">
        <v>452</v>
      </c>
      <c r="M97" t="s">
        <v>387</v>
      </c>
      <c r="N97" t="s">
        <v>187</v>
      </c>
      <c r="O97" t="s">
        <v>313</v>
      </c>
      <c r="P97" t="s">
        <v>453</v>
      </c>
      <c r="Q97" t="s">
        <v>309</v>
      </c>
      <c r="R97" t="s">
        <v>397</v>
      </c>
      <c r="S97" t="s">
        <v>237</v>
      </c>
      <c r="T97" t="s">
        <v>340</v>
      </c>
      <c r="U97" t="s">
        <v>291</v>
      </c>
      <c r="V97" t="s">
        <v>314</v>
      </c>
      <c r="W97" t="s">
        <v>259</v>
      </c>
      <c r="X97" t="s">
        <v>266</v>
      </c>
      <c r="Y97" t="s">
        <v>174</v>
      </c>
      <c r="Z97" t="s">
        <v>168</v>
      </c>
      <c r="AA97" t="s">
        <v>353</v>
      </c>
      <c r="AB97" t="s">
        <v>144</v>
      </c>
      <c r="AC97" t="s">
        <v>193</v>
      </c>
      <c r="AD97" t="s">
        <v>331</v>
      </c>
    </row>
    <row r="98" spans="1:30" x14ac:dyDescent="0.35">
      <c r="A98" t="s">
        <v>30</v>
      </c>
      <c r="B98">
        <v>2015</v>
      </c>
      <c r="C98" t="s">
        <v>197</v>
      </c>
      <c r="D98" t="s">
        <v>353</v>
      </c>
      <c r="E98" t="s">
        <v>338</v>
      </c>
      <c r="F98" t="s">
        <v>275</v>
      </c>
      <c r="G98" t="s">
        <v>165</v>
      </c>
      <c r="H98" t="s">
        <v>181</v>
      </c>
      <c r="I98" t="s">
        <v>376</v>
      </c>
      <c r="J98" t="s">
        <v>454</v>
      </c>
      <c r="K98" t="s">
        <v>455</v>
      </c>
      <c r="L98" t="s">
        <v>456</v>
      </c>
      <c r="M98" t="s">
        <v>346</v>
      </c>
      <c r="N98" t="s">
        <v>269</v>
      </c>
      <c r="O98" t="s">
        <v>333</v>
      </c>
      <c r="P98" t="s">
        <v>457</v>
      </c>
      <c r="Q98" t="s">
        <v>457</v>
      </c>
      <c r="R98" t="s">
        <v>375</v>
      </c>
      <c r="S98" t="s">
        <v>387</v>
      </c>
      <c r="T98" t="s">
        <v>260</v>
      </c>
      <c r="U98" t="s">
        <v>48</v>
      </c>
      <c r="V98" t="s">
        <v>141</v>
      </c>
      <c r="W98" t="s">
        <v>270</v>
      </c>
      <c r="X98" t="s">
        <v>280</v>
      </c>
      <c r="Y98" t="s">
        <v>159</v>
      </c>
      <c r="Z98" t="s">
        <v>191</v>
      </c>
      <c r="AA98" t="s">
        <v>270</v>
      </c>
      <c r="AB98" t="s">
        <v>206</v>
      </c>
      <c r="AC98" t="s">
        <v>263</v>
      </c>
      <c r="AD98" t="s">
        <v>297</v>
      </c>
    </row>
    <row r="99" spans="1:30" x14ac:dyDescent="0.35">
      <c r="A99" t="s">
        <v>54</v>
      </c>
      <c r="B99">
        <v>2015</v>
      </c>
      <c r="C99" t="s">
        <v>197</v>
      </c>
      <c r="D99" t="s">
        <v>322</v>
      </c>
      <c r="E99" t="s">
        <v>446</v>
      </c>
      <c r="F99" t="s">
        <v>192</v>
      </c>
      <c r="G99" t="s">
        <v>312</v>
      </c>
      <c r="H99" t="s">
        <v>93</v>
      </c>
      <c r="I99" t="s">
        <v>357</v>
      </c>
      <c r="J99" t="s">
        <v>458</v>
      </c>
      <c r="K99" t="s">
        <v>459</v>
      </c>
      <c r="L99" t="s">
        <v>460</v>
      </c>
      <c r="M99" t="s">
        <v>377</v>
      </c>
      <c r="N99" t="s">
        <v>201</v>
      </c>
      <c r="O99" t="s">
        <v>376</v>
      </c>
      <c r="P99" t="s">
        <v>431</v>
      </c>
      <c r="Q99" t="s">
        <v>461</v>
      </c>
      <c r="R99" t="s">
        <v>357</v>
      </c>
      <c r="S99" t="s">
        <v>200</v>
      </c>
      <c r="T99" t="s">
        <v>351</v>
      </c>
      <c r="U99" t="s">
        <v>300</v>
      </c>
      <c r="V99" t="s">
        <v>273</v>
      </c>
      <c r="W99" t="s">
        <v>187</v>
      </c>
      <c r="X99" t="s">
        <v>221</v>
      </c>
      <c r="Y99" t="s">
        <v>56</v>
      </c>
      <c r="Z99" t="s">
        <v>226</v>
      </c>
      <c r="AA99" t="s">
        <v>388</v>
      </c>
      <c r="AB99" t="s">
        <v>94</v>
      </c>
      <c r="AC99" t="s">
        <v>227</v>
      </c>
      <c r="AD99" t="s">
        <v>253</v>
      </c>
    </row>
    <row r="100" spans="1:30" x14ac:dyDescent="0.35">
      <c r="A100" t="s">
        <v>73</v>
      </c>
      <c r="B100">
        <v>2015</v>
      </c>
      <c r="C100" t="s">
        <v>197</v>
      </c>
      <c r="D100" t="s">
        <v>354</v>
      </c>
      <c r="E100" t="s">
        <v>375</v>
      </c>
      <c r="F100" t="s">
        <v>239</v>
      </c>
      <c r="G100" t="s">
        <v>335</v>
      </c>
      <c r="H100" t="s">
        <v>178</v>
      </c>
      <c r="I100" t="s">
        <v>400</v>
      </c>
      <c r="J100" t="s">
        <v>462</v>
      </c>
      <c r="K100" t="s">
        <v>463</v>
      </c>
      <c r="L100" t="s">
        <v>464</v>
      </c>
      <c r="M100" t="s">
        <v>400</v>
      </c>
      <c r="N100" t="s">
        <v>275</v>
      </c>
      <c r="O100" t="s">
        <v>410</v>
      </c>
      <c r="P100" t="s">
        <v>309</v>
      </c>
      <c r="Q100" t="s">
        <v>465</v>
      </c>
      <c r="R100" t="s">
        <v>420</v>
      </c>
      <c r="S100" t="s">
        <v>322</v>
      </c>
      <c r="T100" t="s">
        <v>397</v>
      </c>
      <c r="U100" t="s">
        <v>300</v>
      </c>
      <c r="V100" t="s">
        <v>187</v>
      </c>
      <c r="W100" t="s">
        <v>234</v>
      </c>
      <c r="X100" t="s">
        <v>210</v>
      </c>
      <c r="Y100" t="s">
        <v>142</v>
      </c>
      <c r="Z100" t="s">
        <v>186</v>
      </c>
      <c r="AA100" t="s">
        <v>365</v>
      </c>
      <c r="AB100" t="s">
        <v>127</v>
      </c>
      <c r="AC100" t="s">
        <v>173</v>
      </c>
      <c r="AD100" t="s">
        <v>346</v>
      </c>
    </row>
    <row r="101" spans="1:30" x14ac:dyDescent="0.35">
      <c r="A101" t="s">
        <v>30</v>
      </c>
      <c r="B101">
        <v>2015</v>
      </c>
      <c r="C101" t="s">
        <v>207</v>
      </c>
      <c r="D101" t="s">
        <v>361</v>
      </c>
      <c r="E101" t="s">
        <v>375</v>
      </c>
      <c r="F101" t="s">
        <v>219</v>
      </c>
      <c r="G101" t="s">
        <v>384</v>
      </c>
      <c r="H101" t="s">
        <v>247</v>
      </c>
      <c r="I101" t="s">
        <v>421</v>
      </c>
      <c r="J101" t="s">
        <v>324</v>
      </c>
      <c r="K101" t="s">
        <v>466</v>
      </c>
      <c r="L101" t="s">
        <v>467</v>
      </c>
      <c r="M101" t="s">
        <v>340</v>
      </c>
      <c r="N101" t="s">
        <v>341</v>
      </c>
      <c r="O101" t="s">
        <v>440</v>
      </c>
      <c r="P101" t="s">
        <v>389</v>
      </c>
      <c r="Q101" t="s">
        <v>431</v>
      </c>
      <c r="R101" t="s">
        <v>338</v>
      </c>
      <c r="S101" t="s">
        <v>332</v>
      </c>
      <c r="T101" t="s">
        <v>404</v>
      </c>
      <c r="U101" t="s">
        <v>48</v>
      </c>
      <c r="V101" t="s">
        <v>337</v>
      </c>
      <c r="W101" t="s">
        <v>353</v>
      </c>
      <c r="X101" t="s">
        <v>259</v>
      </c>
      <c r="Y101" t="s">
        <v>159</v>
      </c>
      <c r="Z101" t="s">
        <v>152</v>
      </c>
      <c r="AA101" t="s">
        <v>353</v>
      </c>
      <c r="AB101" t="s">
        <v>139</v>
      </c>
      <c r="AC101" t="s">
        <v>169</v>
      </c>
      <c r="AD101" t="s">
        <v>301</v>
      </c>
    </row>
    <row r="102" spans="1:30" x14ac:dyDescent="0.35">
      <c r="A102" t="s">
        <v>54</v>
      </c>
      <c r="B102">
        <v>2015</v>
      </c>
      <c r="C102" t="s">
        <v>207</v>
      </c>
      <c r="D102" t="s">
        <v>374</v>
      </c>
      <c r="E102" t="s">
        <v>367</v>
      </c>
      <c r="F102" t="s">
        <v>244</v>
      </c>
      <c r="G102" t="s">
        <v>249</v>
      </c>
      <c r="H102" t="s">
        <v>96</v>
      </c>
      <c r="I102" t="s">
        <v>264</v>
      </c>
      <c r="J102" t="s">
        <v>468</v>
      </c>
      <c r="K102" t="s">
        <v>469</v>
      </c>
      <c r="L102" t="s">
        <v>470</v>
      </c>
      <c r="M102" t="s">
        <v>471</v>
      </c>
      <c r="N102" t="s">
        <v>266</v>
      </c>
      <c r="O102" t="s">
        <v>472</v>
      </c>
      <c r="P102" t="s">
        <v>417</v>
      </c>
      <c r="Q102" t="s">
        <v>473</v>
      </c>
      <c r="R102" t="s">
        <v>337</v>
      </c>
      <c r="S102" t="s">
        <v>263</v>
      </c>
      <c r="T102" t="s">
        <v>374</v>
      </c>
      <c r="U102" t="s">
        <v>311</v>
      </c>
      <c r="V102" t="s">
        <v>160</v>
      </c>
      <c r="W102" t="s">
        <v>275</v>
      </c>
      <c r="X102" t="s">
        <v>267</v>
      </c>
      <c r="Y102" t="s">
        <v>145</v>
      </c>
      <c r="Z102" t="s">
        <v>267</v>
      </c>
      <c r="AA102" t="s">
        <v>388</v>
      </c>
      <c r="AB102" t="s">
        <v>220</v>
      </c>
      <c r="AC102" t="s">
        <v>241</v>
      </c>
      <c r="AD102" t="s">
        <v>345</v>
      </c>
    </row>
    <row r="103" spans="1:30" x14ac:dyDescent="0.35">
      <c r="A103" t="s">
        <v>73</v>
      </c>
      <c r="B103">
        <v>2015</v>
      </c>
      <c r="C103" t="s">
        <v>207</v>
      </c>
      <c r="D103" t="s">
        <v>302</v>
      </c>
      <c r="E103" t="s">
        <v>342</v>
      </c>
      <c r="F103" t="s">
        <v>213</v>
      </c>
      <c r="G103" t="s">
        <v>315</v>
      </c>
      <c r="H103" t="s">
        <v>222</v>
      </c>
      <c r="I103" t="s">
        <v>446</v>
      </c>
      <c r="J103" t="s">
        <v>474</v>
      </c>
      <c r="K103" t="s">
        <v>475</v>
      </c>
      <c r="L103" t="s">
        <v>476</v>
      </c>
      <c r="M103" t="s">
        <v>328</v>
      </c>
      <c r="N103" t="s">
        <v>299</v>
      </c>
      <c r="O103" t="s">
        <v>382</v>
      </c>
      <c r="P103" t="s">
        <v>313</v>
      </c>
      <c r="Q103" t="s">
        <v>410</v>
      </c>
      <c r="R103" t="s">
        <v>249</v>
      </c>
      <c r="S103" t="s">
        <v>318</v>
      </c>
      <c r="T103" t="s">
        <v>477</v>
      </c>
      <c r="U103" t="s">
        <v>311</v>
      </c>
      <c r="V103" t="s">
        <v>219</v>
      </c>
      <c r="W103" t="s">
        <v>336</v>
      </c>
      <c r="X103" t="s">
        <v>187</v>
      </c>
      <c r="Y103" t="s">
        <v>114</v>
      </c>
      <c r="Z103" t="s">
        <v>239</v>
      </c>
      <c r="AA103" t="s">
        <v>308</v>
      </c>
      <c r="AB103" t="s">
        <v>113</v>
      </c>
      <c r="AC103" t="s">
        <v>277</v>
      </c>
      <c r="AD103" t="s">
        <v>292</v>
      </c>
    </row>
    <row r="104" spans="1:30" x14ac:dyDescent="0.35">
      <c r="A104" t="s">
        <v>30</v>
      </c>
      <c r="B104">
        <v>2015</v>
      </c>
      <c r="C104" t="s">
        <v>233</v>
      </c>
      <c r="D104" t="s">
        <v>292</v>
      </c>
      <c r="E104" t="s">
        <v>404</v>
      </c>
      <c r="F104" t="s">
        <v>288</v>
      </c>
      <c r="G104" t="s">
        <v>408</v>
      </c>
      <c r="H104" t="s">
        <v>168</v>
      </c>
      <c r="I104" t="s">
        <v>313</v>
      </c>
      <c r="J104" t="s">
        <v>478</v>
      </c>
      <c r="K104" t="s">
        <v>479</v>
      </c>
      <c r="L104" t="s">
        <v>480</v>
      </c>
      <c r="M104" t="s">
        <v>312</v>
      </c>
      <c r="N104" t="s">
        <v>307</v>
      </c>
      <c r="O104" t="s">
        <v>401</v>
      </c>
      <c r="P104" t="s">
        <v>481</v>
      </c>
      <c r="Q104" t="s">
        <v>482</v>
      </c>
      <c r="R104" t="s">
        <v>313</v>
      </c>
      <c r="S104" t="s">
        <v>385</v>
      </c>
      <c r="T104" t="s">
        <v>431</v>
      </c>
      <c r="U104" t="s">
        <v>48</v>
      </c>
      <c r="V104" t="s">
        <v>361</v>
      </c>
      <c r="W104" t="s">
        <v>361</v>
      </c>
      <c r="X104" t="s">
        <v>234</v>
      </c>
      <c r="Y104" t="s">
        <v>170</v>
      </c>
      <c r="Z104" t="s">
        <v>291</v>
      </c>
      <c r="AA104" t="s">
        <v>303</v>
      </c>
      <c r="AB104" t="s">
        <v>139</v>
      </c>
      <c r="AC104" t="s">
        <v>191</v>
      </c>
      <c r="AD104" t="s">
        <v>312</v>
      </c>
    </row>
    <row r="105" spans="1:30" x14ac:dyDescent="0.35">
      <c r="A105" t="s">
        <v>54</v>
      </c>
      <c r="B105">
        <v>2015</v>
      </c>
      <c r="C105" t="s">
        <v>233</v>
      </c>
      <c r="D105" t="s">
        <v>357</v>
      </c>
      <c r="E105" t="s">
        <v>342</v>
      </c>
      <c r="F105" t="s">
        <v>281</v>
      </c>
      <c r="G105" t="s">
        <v>367</v>
      </c>
      <c r="H105" t="s">
        <v>76</v>
      </c>
      <c r="I105" t="s">
        <v>141</v>
      </c>
      <c r="J105" t="s">
        <v>483</v>
      </c>
      <c r="K105" t="s">
        <v>484</v>
      </c>
      <c r="L105" t="s">
        <v>416</v>
      </c>
      <c r="M105" t="s">
        <v>485</v>
      </c>
      <c r="N105" t="s">
        <v>210</v>
      </c>
      <c r="O105" t="s">
        <v>320</v>
      </c>
      <c r="P105" t="s">
        <v>432</v>
      </c>
      <c r="Q105" t="s">
        <v>486</v>
      </c>
      <c r="R105" t="s">
        <v>302</v>
      </c>
      <c r="S105" t="s">
        <v>284</v>
      </c>
      <c r="T105" t="s">
        <v>345</v>
      </c>
      <c r="U105" t="s">
        <v>237</v>
      </c>
      <c r="V105" t="s">
        <v>273</v>
      </c>
      <c r="W105" t="s">
        <v>285</v>
      </c>
      <c r="X105" t="s">
        <v>214</v>
      </c>
      <c r="Y105" t="s">
        <v>145</v>
      </c>
      <c r="Z105" t="s">
        <v>277</v>
      </c>
      <c r="AA105" t="s">
        <v>340</v>
      </c>
      <c r="AB105" t="s">
        <v>222</v>
      </c>
      <c r="AC105" t="s">
        <v>195</v>
      </c>
      <c r="AD105" t="s">
        <v>354</v>
      </c>
    </row>
    <row r="106" spans="1:30" x14ac:dyDescent="0.35">
      <c r="A106" t="s">
        <v>73</v>
      </c>
      <c r="B106">
        <v>2015</v>
      </c>
      <c r="C106" t="s">
        <v>233</v>
      </c>
      <c r="D106" t="s">
        <v>346</v>
      </c>
      <c r="E106" t="s">
        <v>453</v>
      </c>
      <c r="F106" t="s">
        <v>300</v>
      </c>
      <c r="G106" t="s">
        <v>165</v>
      </c>
      <c r="H106" t="s">
        <v>160</v>
      </c>
      <c r="I106" t="s">
        <v>385</v>
      </c>
      <c r="J106" t="s">
        <v>487</v>
      </c>
      <c r="K106" t="s">
        <v>223</v>
      </c>
      <c r="L106" t="s">
        <v>488</v>
      </c>
      <c r="M106" t="s">
        <v>309</v>
      </c>
      <c r="N106" t="s">
        <v>288</v>
      </c>
      <c r="O106" t="s">
        <v>489</v>
      </c>
      <c r="P106" t="s">
        <v>333</v>
      </c>
      <c r="Q106" t="s">
        <v>490</v>
      </c>
      <c r="R106" t="s">
        <v>304</v>
      </c>
      <c r="S106" t="s">
        <v>270</v>
      </c>
      <c r="T106" t="s">
        <v>367</v>
      </c>
      <c r="U106" t="s">
        <v>237</v>
      </c>
      <c r="V106" t="s">
        <v>300</v>
      </c>
      <c r="W106" t="s">
        <v>322</v>
      </c>
      <c r="X106" t="s">
        <v>291</v>
      </c>
      <c r="Y106" t="s">
        <v>256</v>
      </c>
      <c r="Z106" t="s">
        <v>169</v>
      </c>
      <c r="AA106" t="s">
        <v>294</v>
      </c>
      <c r="AB106" t="s">
        <v>159</v>
      </c>
      <c r="AC106" t="s">
        <v>214</v>
      </c>
      <c r="AD106" t="s">
        <v>340</v>
      </c>
    </row>
    <row r="107" spans="1:30" x14ac:dyDescent="0.35">
      <c r="A107" t="s">
        <v>30</v>
      </c>
      <c r="B107">
        <v>2015</v>
      </c>
      <c r="C107" t="s">
        <v>242</v>
      </c>
      <c r="D107" t="s">
        <v>294</v>
      </c>
      <c r="E107" t="s">
        <v>406</v>
      </c>
      <c r="F107" t="s">
        <v>317</v>
      </c>
      <c r="G107" t="s">
        <v>342</v>
      </c>
      <c r="H107" t="s">
        <v>186</v>
      </c>
      <c r="I107" t="s">
        <v>491</v>
      </c>
      <c r="J107" t="s">
        <v>492</v>
      </c>
      <c r="K107" t="s">
        <v>350</v>
      </c>
      <c r="L107" t="s">
        <v>271</v>
      </c>
      <c r="M107" t="s">
        <v>335</v>
      </c>
      <c r="N107" t="s">
        <v>317</v>
      </c>
      <c r="O107" t="s">
        <v>493</v>
      </c>
      <c r="P107" t="s">
        <v>396</v>
      </c>
      <c r="Q107" t="s">
        <v>440</v>
      </c>
      <c r="R107" t="s">
        <v>410</v>
      </c>
      <c r="S107" t="s">
        <v>249</v>
      </c>
      <c r="T107" t="s">
        <v>423</v>
      </c>
      <c r="U107" t="s">
        <v>48</v>
      </c>
      <c r="V107" t="s">
        <v>365</v>
      </c>
      <c r="W107" t="s">
        <v>393</v>
      </c>
      <c r="X107" t="s">
        <v>307</v>
      </c>
      <c r="Y107" t="s">
        <v>170</v>
      </c>
      <c r="Z107" t="s">
        <v>300</v>
      </c>
      <c r="AA107" t="s">
        <v>361</v>
      </c>
      <c r="AB107" t="s">
        <v>238</v>
      </c>
      <c r="AC107" t="s">
        <v>210</v>
      </c>
      <c r="AD107" t="s">
        <v>420</v>
      </c>
    </row>
    <row r="108" spans="1:30" x14ac:dyDescent="0.35">
      <c r="A108" t="s">
        <v>54</v>
      </c>
      <c r="B108">
        <v>2015</v>
      </c>
      <c r="C108" t="s">
        <v>242</v>
      </c>
      <c r="D108" t="s">
        <v>349</v>
      </c>
      <c r="E108" t="s">
        <v>435</v>
      </c>
      <c r="F108" t="s">
        <v>323</v>
      </c>
      <c r="G108" t="s">
        <v>367</v>
      </c>
      <c r="H108" t="s">
        <v>76</v>
      </c>
      <c r="I108" t="s">
        <v>219</v>
      </c>
      <c r="J108" t="s">
        <v>494</v>
      </c>
      <c r="K108" t="s">
        <v>495</v>
      </c>
      <c r="L108" t="s">
        <v>496</v>
      </c>
      <c r="M108" t="s">
        <v>497</v>
      </c>
      <c r="N108" t="s">
        <v>224</v>
      </c>
      <c r="O108" t="s">
        <v>401</v>
      </c>
      <c r="P108" t="s">
        <v>431</v>
      </c>
      <c r="Q108" t="s">
        <v>498</v>
      </c>
      <c r="R108" t="s">
        <v>346</v>
      </c>
      <c r="S108" t="s">
        <v>305</v>
      </c>
      <c r="T108" t="s">
        <v>270</v>
      </c>
      <c r="U108" t="s">
        <v>311</v>
      </c>
      <c r="V108" t="s">
        <v>218</v>
      </c>
      <c r="W108" t="s">
        <v>285</v>
      </c>
      <c r="X108" t="s">
        <v>200</v>
      </c>
      <c r="Y108" t="s">
        <v>145</v>
      </c>
      <c r="Z108" t="s">
        <v>214</v>
      </c>
      <c r="AA108" t="s">
        <v>340</v>
      </c>
      <c r="AB108" t="s">
        <v>115</v>
      </c>
      <c r="AC108" t="s">
        <v>252</v>
      </c>
      <c r="AD108" t="s">
        <v>357</v>
      </c>
    </row>
    <row r="109" spans="1:30" x14ac:dyDescent="0.35">
      <c r="A109" t="s">
        <v>73</v>
      </c>
      <c r="B109">
        <v>2015</v>
      </c>
      <c r="C109" t="s">
        <v>242</v>
      </c>
      <c r="D109" t="s">
        <v>365</v>
      </c>
      <c r="E109" t="s">
        <v>396</v>
      </c>
      <c r="F109" t="s">
        <v>331</v>
      </c>
      <c r="G109" t="s">
        <v>384</v>
      </c>
      <c r="H109" t="s">
        <v>268</v>
      </c>
      <c r="I109" t="s">
        <v>340</v>
      </c>
      <c r="J109" t="s">
        <v>424</v>
      </c>
      <c r="K109" t="s">
        <v>499</v>
      </c>
      <c r="L109" t="s">
        <v>480</v>
      </c>
      <c r="M109" t="s">
        <v>313</v>
      </c>
      <c r="N109" t="s">
        <v>259</v>
      </c>
      <c r="O109" t="s">
        <v>461</v>
      </c>
      <c r="P109" t="s">
        <v>396</v>
      </c>
      <c r="Q109" t="s">
        <v>500</v>
      </c>
      <c r="R109" t="s">
        <v>328</v>
      </c>
      <c r="S109" t="s">
        <v>331</v>
      </c>
      <c r="T109" t="s">
        <v>446</v>
      </c>
      <c r="U109" t="s">
        <v>311</v>
      </c>
      <c r="V109" t="s">
        <v>259</v>
      </c>
      <c r="W109" t="s">
        <v>374</v>
      </c>
      <c r="X109" t="s">
        <v>280</v>
      </c>
      <c r="Y109" t="s">
        <v>256</v>
      </c>
      <c r="Z109" t="s">
        <v>191</v>
      </c>
      <c r="AA109" t="s">
        <v>381</v>
      </c>
      <c r="AB109" t="s">
        <v>206</v>
      </c>
      <c r="AC109" t="s">
        <v>186</v>
      </c>
      <c r="AD109" t="s">
        <v>292</v>
      </c>
    </row>
    <row r="110" spans="1:30" x14ac:dyDescent="0.35">
      <c r="A110" t="s">
        <v>30</v>
      </c>
      <c r="B110">
        <v>2016</v>
      </c>
      <c r="C110" t="s">
        <v>31</v>
      </c>
      <c r="D110" t="s">
        <v>387</v>
      </c>
      <c r="E110" t="s">
        <v>421</v>
      </c>
      <c r="F110" t="s">
        <v>388</v>
      </c>
      <c r="G110" t="s">
        <v>453</v>
      </c>
      <c r="H110" t="s">
        <v>213</v>
      </c>
      <c r="I110" t="s">
        <v>491</v>
      </c>
      <c r="J110" t="s">
        <v>501</v>
      </c>
      <c r="K110" t="s">
        <v>502</v>
      </c>
      <c r="L110" t="s">
        <v>503</v>
      </c>
      <c r="M110" t="s">
        <v>504</v>
      </c>
      <c r="N110" t="s">
        <v>349</v>
      </c>
      <c r="O110" t="s">
        <v>505</v>
      </c>
      <c r="P110" t="s">
        <v>396</v>
      </c>
      <c r="Q110" t="s">
        <v>490</v>
      </c>
      <c r="R110" t="s">
        <v>421</v>
      </c>
      <c r="S110" t="s">
        <v>335</v>
      </c>
      <c r="T110" t="s">
        <v>417</v>
      </c>
      <c r="U110" t="s">
        <v>48</v>
      </c>
      <c r="V110" t="s">
        <v>381</v>
      </c>
      <c r="W110" t="s">
        <v>340</v>
      </c>
      <c r="X110" t="s">
        <v>141</v>
      </c>
      <c r="Y110" t="s">
        <v>211</v>
      </c>
      <c r="Z110" t="s">
        <v>280</v>
      </c>
      <c r="AA110" t="s">
        <v>381</v>
      </c>
      <c r="AB110" t="s">
        <v>160</v>
      </c>
      <c r="AC110" t="s">
        <v>152</v>
      </c>
      <c r="AD110" t="s">
        <v>391</v>
      </c>
    </row>
    <row r="111" spans="1:30" x14ac:dyDescent="0.35">
      <c r="A111" t="s">
        <v>54</v>
      </c>
      <c r="B111">
        <v>2016</v>
      </c>
      <c r="C111" t="s">
        <v>31</v>
      </c>
      <c r="D111" t="s">
        <v>325</v>
      </c>
      <c r="E111" t="s">
        <v>505</v>
      </c>
      <c r="F111" t="s">
        <v>465</v>
      </c>
      <c r="G111" t="s">
        <v>165</v>
      </c>
      <c r="H111" t="s">
        <v>118</v>
      </c>
      <c r="I111" t="s">
        <v>262</v>
      </c>
      <c r="J111" t="s">
        <v>506</v>
      </c>
      <c r="K111" t="s">
        <v>507</v>
      </c>
      <c r="L111" t="s">
        <v>508</v>
      </c>
      <c r="M111" t="s">
        <v>509</v>
      </c>
      <c r="N111" t="s">
        <v>248</v>
      </c>
      <c r="O111" t="s">
        <v>461</v>
      </c>
      <c r="P111" t="s">
        <v>309</v>
      </c>
      <c r="Q111" t="s">
        <v>509</v>
      </c>
      <c r="R111" t="s">
        <v>303</v>
      </c>
      <c r="S111" t="s">
        <v>210</v>
      </c>
      <c r="T111" t="s">
        <v>360</v>
      </c>
      <c r="U111" t="s">
        <v>322</v>
      </c>
      <c r="V111" t="s">
        <v>95</v>
      </c>
      <c r="W111" t="s">
        <v>300</v>
      </c>
      <c r="X111" t="s">
        <v>201</v>
      </c>
      <c r="Y111" t="s">
        <v>121</v>
      </c>
      <c r="Z111" t="s">
        <v>295</v>
      </c>
      <c r="AA111" t="s">
        <v>319</v>
      </c>
      <c r="AB111" t="s">
        <v>170</v>
      </c>
      <c r="AC111" t="s">
        <v>246</v>
      </c>
      <c r="AD111" t="s">
        <v>345</v>
      </c>
    </row>
    <row r="112" spans="1:30" x14ac:dyDescent="0.35">
      <c r="A112" t="s">
        <v>73</v>
      </c>
      <c r="B112">
        <v>2016</v>
      </c>
      <c r="C112" t="s">
        <v>31</v>
      </c>
      <c r="D112" t="s">
        <v>292</v>
      </c>
      <c r="E112" t="s">
        <v>412</v>
      </c>
      <c r="F112" t="s">
        <v>367</v>
      </c>
      <c r="G112" t="s">
        <v>260</v>
      </c>
      <c r="H112" t="s">
        <v>212</v>
      </c>
      <c r="I112" t="s">
        <v>365</v>
      </c>
      <c r="J112" t="s">
        <v>510</v>
      </c>
      <c r="K112" t="s">
        <v>511</v>
      </c>
      <c r="L112" t="s">
        <v>512</v>
      </c>
      <c r="M112" t="s">
        <v>472</v>
      </c>
      <c r="N112" t="s">
        <v>296</v>
      </c>
      <c r="O112" t="s">
        <v>473</v>
      </c>
      <c r="P112" t="s">
        <v>406</v>
      </c>
      <c r="Q112" t="s">
        <v>422</v>
      </c>
      <c r="R112" t="s">
        <v>453</v>
      </c>
      <c r="S112" t="s">
        <v>353</v>
      </c>
      <c r="T112" t="s">
        <v>408</v>
      </c>
      <c r="U112" t="s">
        <v>322</v>
      </c>
      <c r="V112" t="s">
        <v>296</v>
      </c>
      <c r="W112" t="s">
        <v>345</v>
      </c>
      <c r="X112" t="s">
        <v>259</v>
      </c>
      <c r="Y112" t="s">
        <v>143</v>
      </c>
      <c r="Z112" t="s">
        <v>210</v>
      </c>
      <c r="AA112" t="s">
        <v>294</v>
      </c>
      <c r="AB112" t="s">
        <v>215</v>
      </c>
      <c r="AC112" t="s">
        <v>295</v>
      </c>
      <c r="AD112" t="s">
        <v>294</v>
      </c>
    </row>
    <row r="113" spans="1:30" x14ac:dyDescent="0.35">
      <c r="A113" t="s">
        <v>30</v>
      </c>
      <c r="B113">
        <v>2016</v>
      </c>
      <c r="C113" t="s">
        <v>85</v>
      </c>
      <c r="D113" t="s">
        <v>323</v>
      </c>
      <c r="E113" t="s">
        <v>320</v>
      </c>
      <c r="F113" t="s">
        <v>301</v>
      </c>
      <c r="G113" t="s">
        <v>513</v>
      </c>
      <c r="H113" t="s">
        <v>295</v>
      </c>
      <c r="I113" t="s">
        <v>375</v>
      </c>
      <c r="J113" t="s">
        <v>394</v>
      </c>
      <c r="K113" t="s">
        <v>514</v>
      </c>
      <c r="L113" t="s">
        <v>515</v>
      </c>
      <c r="M113" t="s">
        <v>404</v>
      </c>
      <c r="N113" t="s">
        <v>331</v>
      </c>
      <c r="O113" t="s">
        <v>516</v>
      </c>
      <c r="P113" t="s">
        <v>453</v>
      </c>
      <c r="Q113" t="s">
        <v>377</v>
      </c>
      <c r="R113" t="s">
        <v>517</v>
      </c>
      <c r="S113" t="s">
        <v>342</v>
      </c>
      <c r="T113" t="s">
        <v>518</v>
      </c>
      <c r="U113" t="s">
        <v>48</v>
      </c>
      <c r="V113" t="s">
        <v>402</v>
      </c>
      <c r="W113" t="s">
        <v>323</v>
      </c>
      <c r="X113" t="s">
        <v>349</v>
      </c>
      <c r="Y113" t="s">
        <v>113</v>
      </c>
      <c r="Z113" t="s">
        <v>341</v>
      </c>
      <c r="AA113" t="s">
        <v>323</v>
      </c>
      <c r="AB113" t="s">
        <v>246</v>
      </c>
      <c r="AC113" t="s">
        <v>291</v>
      </c>
      <c r="AD113" t="s">
        <v>420</v>
      </c>
    </row>
    <row r="114" spans="1:30" x14ac:dyDescent="0.35">
      <c r="A114" t="s">
        <v>54</v>
      </c>
      <c r="B114">
        <v>2016</v>
      </c>
      <c r="C114" t="s">
        <v>85</v>
      </c>
      <c r="D114" t="s">
        <v>331</v>
      </c>
      <c r="E114" t="s">
        <v>493</v>
      </c>
      <c r="F114" t="s">
        <v>453</v>
      </c>
      <c r="G114" t="s">
        <v>504</v>
      </c>
      <c r="H114" t="s">
        <v>74</v>
      </c>
      <c r="I114" t="s">
        <v>200</v>
      </c>
      <c r="J114" t="s">
        <v>165</v>
      </c>
      <c r="K114" t="s">
        <v>519</v>
      </c>
      <c r="L114" t="s">
        <v>520</v>
      </c>
      <c r="M114" t="s">
        <v>521</v>
      </c>
      <c r="N114" t="s">
        <v>314</v>
      </c>
      <c r="O114" t="s">
        <v>422</v>
      </c>
      <c r="P114" t="s">
        <v>315</v>
      </c>
      <c r="Q114" t="s">
        <v>179</v>
      </c>
      <c r="R114" t="s">
        <v>381</v>
      </c>
      <c r="S114" t="s">
        <v>152</v>
      </c>
      <c r="T114" t="s">
        <v>330</v>
      </c>
      <c r="U114" t="s">
        <v>337</v>
      </c>
      <c r="V114" t="s">
        <v>218</v>
      </c>
      <c r="W114" t="s">
        <v>326</v>
      </c>
      <c r="X114" t="s">
        <v>305</v>
      </c>
      <c r="Y114" t="s">
        <v>56</v>
      </c>
      <c r="Z114" t="s">
        <v>263</v>
      </c>
      <c r="AA114" t="s">
        <v>294</v>
      </c>
      <c r="AB114" t="s">
        <v>227</v>
      </c>
      <c r="AC114" t="s">
        <v>193</v>
      </c>
      <c r="AD114" t="s">
        <v>318</v>
      </c>
    </row>
    <row r="115" spans="1:30" x14ac:dyDescent="0.35">
      <c r="A115" t="s">
        <v>73</v>
      </c>
      <c r="B115">
        <v>2016</v>
      </c>
      <c r="C115" t="s">
        <v>85</v>
      </c>
      <c r="D115" t="s">
        <v>319</v>
      </c>
      <c r="E115" t="s">
        <v>401</v>
      </c>
      <c r="F115" t="s">
        <v>403</v>
      </c>
      <c r="G115" t="s">
        <v>453</v>
      </c>
      <c r="H115" t="s">
        <v>176</v>
      </c>
      <c r="I115" t="s">
        <v>360</v>
      </c>
      <c r="J115" t="s">
        <v>453</v>
      </c>
      <c r="K115" t="s">
        <v>522</v>
      </c>
      <c r="L115" t="s">
        <v>523</v>
      </c>
      <c r="M115" t="s">
        <v>490</v>
      </c>
      <c r="N115" t="s">
        <v>336</v>
      </c>
      <c r="O115" t="s">
        <v>471</v>
      </c>
      <c r="P115" t="s">
        <v>260</v>
      </c>
      <c r="Q115" t="s">
        <v>505</v>
      </c>
      <c r="R115" t="s">
        <v>394</v>
      </c>
      <c r="S115" t="s">
        <v>303</v>
      </c>
      <c r="T115" t="s">
        <v>524</v>
      </c>
      <c r="U115" t="s">
        <v>337</v>
      </c>
      <c r="V115" t="s">
        <v>307</v>
      </c>
      <c r="W115" t="s">
        <v>354</v>
      </c>
      <c r="X115" t="s">
        <v>230</v>
      </c>
      <c r="Y115" t="s">
        <v>114</v>
      </c>
      <c r="Z115" t="s">
        <v>293</v>
      </c>
      <c r="AA115" t="s">
        <v>340</v>
      </c>
      <c r="AB115" t="s">
        <v>195</v>
      </c>
      <c r="AC115" t="s">
        <v>201</v>
      </c>
      <c r="AD115" t="s">
        <v>393</v>
      </c>
    </row>
    <row r="116" spans="1:30" x14ac:dyDescent="0.35">
      <c r="A116" t="s">
        <v>30</v>
      </c>
      <c r="B116">
        <v>2016</v>
      </c>
      <c r="C116" t="s">
        <v>107</v>
      </c>
      <c r="D116" t="s">
        <v>332</v>
      </c>
      <c r="E116" t="s">
        <v>377</v>
      </c>
      <c r="F116" t="s">
        <v>353</v>
      </c>
      <c r="G116" t="s">
        <v>418</v>
      </c>
      <c r="H116" t="s">
        <v>186</v>
      </c>
      <c r="I116" t="s">
        <v>435</v>
      </c>
      <c r="J116" t="s">
        <v>513</v>
      </c>
      <c r="K116" t="s">
        <v>525</v>
      </c>
      <c r="L116" t="s">
        <v>99</v>
      </c>
      <c r="M116" t="s">
        <v>405</v>
      </c>
      <c r="N116" t="s">
        <v>360</v>
      </c>
      <c r="O116" t="s">
        <v>526</v>
      </c>
      <c r="P116" t="s">
        <v>375</v>
      </c>
      <c r="Q116" t="s">
        <v>527</v>
      </c>
      <c r="R116" t="s">
        <v>377</v>
      </c>
      <c r="S116" t="s">
        <v>524</v>
      </c>
      <c r="T116" t="s">
        <v>434</v>
      </c>
      <c r="U116" t="s">
        <v>48</v>
      </c>
      <c r="V116" t="s">
        <v>297</v>
      </c>
      <c r="W116" t="s">
        <v>301</v>
      </c>
      <c r="X116" t="s">
        <v>331</v>
      </c>
      <c r="Y116" t="s">
        <v>211</v>
      </c>
      <c r="Z116" t="s">
        <v>230</v>
      </c>
      <c r="AA116" t="s">
        <v>402</v>
      </c>
      <c r="AB116" t="s">
        <v>232</v>
      </c>
      <c r="AC116" t="s">
        <v>299</v>
      </c>
      <c r="AD116" t="s">
        <v>379</v>
      </c>
    </row>
    <row r="117" spans="1:30" x14ac:dyDescent="0.35">
      <c r="A117" t="s">
        <v>54</v>
      </c>
      <c r="B117">
        <v>2016</v>
      </c>
      <c r="C117" t="s">
        <v>107</v>
      </c>
      <c r="D117" t="s">
        <v>331</v>
      </c>
      <c r="E117" t="s">
        <v>528</v>
      </c>
      <c r="F117" t="s">
        <v>141</v>
      </c>
      <c r="G117" t="s">
        <v>328</v>
      </c>
      <c r="H117" t="s">
        <v>62</v>
      </c>
      <c r="I117" t="s">
        <v>272</v>
      </c>
      <c r="J117" t="s">
        <v>391</v>
      </c>
      <c r="K117" t="s">
        <v>529</v>
      </c>
      <c r="L117" t="s">
        <v>61</v>
      </c>
      <c r="M117" t="s">
        <v>501</v>
      </c>
      <c r="N117" t="s">
        <v>275</v>
      </c>
      <c r="O117" t="s">
        <v>530</v>
      </c>
      <c r="P117" t="s">
        <v>335</v>
      </c>
      <c r="Q117" t="s">
        <v>531</v>
      </c>
      <c r="R117" t="s">
        <v>319</v>
      </c>
      <c r="S117" t="s">
        <v>293</v>
      </c>
      <c r="T117" t="s">
        <v>287</v>
      </c>
      <c r="U117" t="s">
        <v>360</v>
      </c>
      <c r="V117" t="s">
        <v>176</v>
      </c>
      <c r="W117" t="s">
        <v>341</v>
      </c>
      <c r="X117" t="s">
        <v>306</v>
      </c>
      <c r="Y117" t="s">
        <v>131</v>
      </c>
      <c r="Z117" t="s">
        <v>201</v>
      </c>
      <c r="AA117" t="s">
        <v>319</v>
      </c>
      <c r="AB117" t="s">
        <v>221</v>
      </c>
      <c r="AC117" t="s">
        <v>226</v>
      </c>
      <c r="AD117" t="s">
        <v>318</v>
      </c>
    </row>
    <row r="118" spans="1:30" x14ac:dyDescent="0.35">
      <c r="A118" t="s">
        <v>73</v>
      </c>
      <c r="B118">
        <v>2016</v>
      </c>
      <c r="C118" t="s">
        <v>107</v>
      </c>
      <c r="D118" t="s">
        <v>388</v>
      </c>
      <c r="E118" t="s">
        <v>493</v>
      </c>
      <c r="F118" t="s">
        <v>354</v>
      </c>
      <c r="G118" t="s">
        <v>524</v>
      </c>
      <c r="H118" t="s">
        <v>215</v>
      </c>
      <c r="I118" t="s">
        <v>381</v>
      </c>
      <c r="J118" t="s">
        <v>342</v>
      </c>
      <c r="K118" t="s">
        <v>532</v>
      </c>
      <c r="L118" t="s">
        <v>533</v>
      </c>
      <c r="M118" t="s">
        <v>517</v>
      </c>
      <c r="N118" t="s">
        <v>307</v>
      </c>
      <c r="O118" t="s">
        <v>528</v>
      </c>
      <c r="P118" t="s">
        <v>342</v>
      </c>
      <c r="Q118" t="s">
        <v>534</v>
      </c>
      <c r="R118" t="s">
        <v>406</v>
      </c>
      <c r="S118" t="s">
        <v>292</v>
      </c>
      <c r="T118" t="s">
        <v>418</v>
      </c>
      <c r="U118" t="s">
        <v>360</v>
      </c>
      <c r="V118" t="s">
        <v>311</v>
      </c>
      <c r="W118" t="s">
        <v>353</v>
      </c>
      <c r="X118" t="s">
        <v>237</v>
      </c>
      <c r="Y118" t="s">
        <v>134</v>
      </c>
      <c r="Z118" t="s">
        <v>314</v>
      </c>
      <c r="AA118" t="s">
        <v>364</v>
      </c>
      <c r="AB118" t="s">
        <v>226</v>
      </c>
      <c r="AC118" t="s">
        <v>284</v>
      </c>
      <c r="AD118" t="s">
        <v>393</v>
      </c>
    </row>
    <row r="119" spans="1:30" x14ac:dyDescent="0.35">
      <c r="A119" t="s">
        <v>30</v>
      </c>
      <c r="B119">
        <v>2016</v>
      </c>
      <c r="C119" t="s">
        <v>123</v>
      </c>
      <c r="D119" t="s">
        <v>380</v>
      </c>
      <c r="E119" t="s">
        <v>530</v>
      </c>
      <c r="F119" t="s">
        <v>322</v>
      </c>
      <c r="G119" t="s">
        <v>406</v>
      </c>
      <c r="H119" t="s">
        <v>289</v>
      </c>
      <c r="I119" t="s">
        <v>535</v>
      </c>
      <c r="J119" t="s">
        <v>412</v>
      </c>
      <c r="K119" t="s">
        <v>536</v>
      </c>
      <c r="L119" t="s">
        <v>65</v>
      </c>
      <c r="M119" t="s">
        <v>396</v>
      </c>
      <c r="N119" t="s">
        <v>346</v>
      </c>
      <c r="O119" t="s">
        <v>429</v>
      </c>
      <c r="P119" t="s">
        <v>389</v>
      </c>
      <c r="Q119" t="s">
        <v>537</v>
      </c>
      <c r="R119" t="s">
        <v>527</v>
      </c>
      <c r="S119" t="s">
        <v>404</v>
      </c>
      <c r="T119" t="s">
        <v>377</v>
      </c>
      <c r="U119" t="s">
        <v>48</v>
      </c>
      <c r="V119" t="s">
        <v>297</v>
      </c>
      <c r="W119" t="s">
        <v>379</v>
      </c>
      <c r="X119" t="s">
        <v>348</v>
      </c>
      <c r="Y119" t="s">
        <v>231</v>
      </c>
      <c r="Z119" t="s">
        <v>351</v>
      </c>
      <c r="AA119" t="s">
        <v>420</v>
      </c>
      <c r="AB119" t="s">
        <v>243</v>
      </c>
      <c r="AC119" t="s">
        <v>288</v>
      </c>
      <c r="AD119" t="s">
        <v>446</v>
      </c>
    </row>
    <row r="120" spans="1:30" x14ac:dyDescent="0.35">
      <c r="A120" t="s">
        <v>54</v>
      </c>
      <c r="B120">
        <v>2016</v>
      </c>
      <c r="C120" t="s">
        <v>123</v>
      </c>
      <c r="D120" t="s">
        <v>360</v>
      </c>
      <c r="E120" t="s">
        <v>538</v>
      </c>
      <c r="F120" t="s">
        <v>272</v>
      </c>
      <c r="G120" t="s">
        <v>524</v>
      </c>
      <c r="H120" t="s">
        <v>121</v>
      </c>
      <c r="I120" t="s">
        <v>338</v>
      </c>
      <c r="J120" t="s">
        <v>539</v>
      </c>
      <c r="K120" t="s">
        <v>540</v>
      </c>
      <c r="L120" t="s">
        <v>56</v>
      </c>
      <c r="M120" t="s">
        <v>541</v>
      </c>
      <c r="N120" t="s">
        <v>299</v>
      </c>
      <c r="O120" t="s">
        <v>505</v>
      </c>
      <c r="P120" t="s">
        <v>389</v>
      </c>
      <c r="Q120" t="s">
        <v>510</v>
      </c>
      <c r="R120" t="s">
        <v>387</v>
      </c>
      <c r="S120" t="s">
        <v>248</v>
      </c>
      <c r="T120" t="s">
        <v>303</v>
      </c>
      <c r="U120" t="s">
        <v>361</v>
      </c>
      <c r="V120" t="s">
        <v>126</v>
      </c>
      <c r="W120" t="s">
        <v>327</v>
      </c>
      <c r="X120" t="s">
        <v>298</v>
      </c>
      <c r="Y120" t="s">
        <v>76</v>
      </c>
      <c r="Z120" t="s">
        <v>305</v>
      </c>
      <c r="AA120" t="s">
        <v>371</v>
      </c>
      <c r="AB120" t="s">
        <v>290</v>
      </c>
      <c r="AC120" t="s">
        <v>289</v>
      </c>
      <c r="AD120" t="s">
        <v>330</v>
      </c>
    </row>
    <row r="121" spans="1:30" x14ac:dyDescent="0.35">
      <c r="A121" t="s">
        <v>73</v>
      </c>
      <c r="B121">
        <v>2016</v>
      </c>
      <c r="C121" t="s">
        <v>123</v>
      </c>
      <c r="D121" t="s">
        <v>340</v>
      </c>
      <c r="E121" t="s">
        <v>539</v>
      </c>
      <c r="F121" t="s">
        <v>259</v>
      </c>
      <c r="G121" t="s">
        <v>394</v>
      </c>
      <c r="H121" t="s">
        <v>176</v>
      </c>
      <c r="I121" t="s">
        <v>542</v>
      </c>
      <c r="J121" t="s">
        <v>527</v>
      </c>
      <c r="K121" t="s">
        <v>543</v>
      </c>
      <c r="L121" t="s">
        <v>47</v>
      </c>
      <c r="M121" t="s">
        <v>377</v>
      </c>
      <c r="N121" t="s">
        <v>374</v>
      </c>
      <c r="O121" t="s">
        <v>544</v>
      </c>
      <c r="P121" t="s">
        <v>389</v>
      </c>
      <c r="Q121" t="s">
        <v>485</v>
      </c>
      <c r="R121" t="s">
        <v>389</v>
      </c>
      <c r="S121" t="s">
        <v>319</v>
      </c>
      <c r="T121" t="s">
        <v>457</v>
      </c>
      <c r="U121" t="s">
        <v>361</v>
      </c>
      <c r="V121" t="s">
        <v>341</v>
      </c>
      <c r="W121" t="s">
        <v>287</v>
      </c>
      <c r="X121" t="s">
        <v>351</v>
      </c>
      <c r="Y121" t="s">
        <v>147</v>
      </c>
      <c r="Z121" t="s">
        <v>299</v>
      </c>
      <c r="AA121" t="s">
        <v>301</v>
      </c>
      <c r="AB121" t="s">
        <v>214</v>
      </c>
      <c r="AC121" t="s">
        <v>298</v>
      </c>
      <c r="AD121" t="s">
        <v>332</v>
      </c>
    </row>
    <row r="122" spans="1:30" x14ac:dyDescent="0.35">
      <c r="A122" t="s">
        <v>30</v>
      </c>
      <c r="B122">
        <v>2016</v>
      </c>
      <c r="C122" t="s">
        <v>136</v>
      </c>
      <c r="D122" t="s">
        <v>371</v>
      </c>
      <c r="E122" t="s">
        <v>310</v>
      </c>
      <c r="F122" t="s">
        <v>337</v>
      </c>
      <c r="G122" t="s">
        <v>481</v>
      </c>
      <c r="H122" t="s">
        <v>289</v>
      </c>
      <c r="I122" t="s">
        <v>535</v>
      </c>
      <c r="J122" t="s">
        <v>545</v>
      </c>
      <c r="K122" t="s">
        <v>546</v>
      </c>
      <c r="L122" t="s">
        <v>32</v>
      </c>
      <c r="M122" t="s">
        <v>482</v>
      </c>
      <c r="N122" t="s">
        <v>292</v>
      </c>
      <c r="O122" t="s">
        <v>547</v>
      </c>
      <c r="P122" t="s">
        <v>490</v>
      </c>
      <c r="Q122" t="s">
        <v>548</v>
      </c>
      <c r="R122" t="s">
        <v>530</v>
      </c>
      <c r="S122" t="s">
        <v>338</v>
      </c>
      <c r="T122" t="s">
        <v>542</v>
      </c>
      <c r="U122" t="s">
        <v>48</v>
      </c>
      <c r="V122" t="s">
        <v>380</v>
      </c>
      <c r="W122" t="s">
        <v>249</v>
      </c>
      <c r="X122" t="s">
        <v>303</v>
      </c>
      <c r="Y122" t="s">
        <v>273</v>
      </c>
      <c r="Z122" t="s">
        <v>374</v>
      </c>
      <c r="AA122" t="s">
        <v>315</v>
      </c>
      <c r="AB122" t="s">
        <v>306</v>
      </c>
      <c r="AC122" t="s">
        <v>230</v>
      </c>
      <c r="AD122" t="s">
        <v>453</v>
      </c>
    </row>
    <row r="123" spans="1:30" x14ac:dyDescent="0.35">
      <c r="A123" t="s">
        <v>54</v>
      </c>
      <c r="B123">
        <v>2016</v>
      </c>
      <c r="C123" t="s">
        <v>136</v>
      </c>
      <c r="D123" t="s">
        <v>302</v>
      </c>
      <c r="E123" t="s">
        <v>455</v>
      </c>
      <c r="F123" t="s">
        <v>297</v>
      </c>
      <c r="G123" t="s">
        <v>375</v>
      </c>
      <c r="H123" t="s">
        <v>135</v>
      </c>
      <c r="I123" t="s">
        <v>549</v>
      </c>
      <c r="J123" t="s">
        <v>550</v>
      </c>
      <c r="K123" t="s">
        <v>551</v>
      </c>
      <c r="L123" t="s">
        <v>143</v>
      </c>
      <c r="M123" t="s">
        <v>510</v>
      </c>
      <c r="N123" t="s">
        <v>281</v>
      </c>
      <c r="O123" t="s">
        <v>528</v>
      </c>
      <c r="P123" t="s">
        <v>552</v>
      </c>
      <c r="Q123" t="s">
        <v>553</v>
      </c>
      <c r="R123" t="s">
        <v>397</v>
      </c>
      <c r="S123" t="s">
        <v>275</v>
      </c>
      <c r="T123" t="s">
        <v>381</v>
      </c>
      <c r="U123" t="s">
        <v>393</v>
      </c>
      <c r="V123" t="s">
        <v>158</v>
      </c>
      <c r="W123" t="s">
        <v>351</v>
      </c>
      <c r="X123" t="s">
        <v>293</v>
      </c>
      <c r="Y123" t="s">
        <v>161</v>
      </c>
      <c r="Z123" t="s">
        <v>210</v>
      </c>
      <c r="AA123" t="s">
        <v>379</v>
      </c>
      <c r="AB123" t="s">
        <v>295</v>
      </c>
      <c r="AC123" t="s">
        <v>239</v>
      </c>
      <c r="AD123" t="s">
        <v>340</v>
      </c>
    </row>
    <row r="124" spans="1:30" x14ac:dyDescent="0.35">
      <c r="A124" t="s">
        <v>73</v>
      </c>
      <c r="B124">
        <v>2016</v>
      </c>
      <c r="C124" t="s">
        <v>136</v>
      </c>
      <c r="D124" t="s">
        <v>387</v>
      </c>
      <c r="E124" t="s">
        <v>428</v>
      </c>
      <c r="F124" t="s">
        <v>346</v>
      </c>
      <c r="G124" t="s">
        <v>435</v>
      </c>
      <c r="H124" t="s">
        <v>158</v>
      </c>
      <c r="I124" t="s">
        <v>548</v>
      </c>
      <c r="J124" t="s">
        <v>441</v>
      </c>
      <c r="K124" t="s">
        <v>554</v>
      </c>
      <c r="L124" t="s">
        <v>87</v>
      </c>
      <c r="M124" t="s">
        <v>473</v>
      </c>
      <c r="N124" t="s">
        <v>345</v>
      </c>
      <c r="O124" t="s">
        <v>429</v>
      </c>
      <c r="P124" t="s">
        <v>489</v>
      </c>
      <c r="Q124" t="s">
        <v>555</v>
      </c>
      <c r="R124" t="s">
        <v>482</v>
      </c>
      <c r="S124" t="s">
        <v>387</v>
      </c>
      <c r="T124" t="s">
        <v>396</v>
      </c>
      <c r="U124" t="s">
        <v>393</v>
      </c>
      <c r="V124" t="s">
        <v>296</v>
      </c>
      <c r="W124" t="s">
        <v>393</v>
      </c>
      <c r="X124" t="s">
        <v>141</v>
      </c>
      <c r="Y124" t="s">
        <v>101</v>
      </c>
      <c r="Z124" t="s">
        <v>281</v>
      </c>
      <c r="AA124" t="s">
        <v>249</v>
      </c>
      <c r="AB124" t="s">
        <v>169</v>
      </c>
      <c r="AC124" t="s">
        <v>275</v>
      </c>
      <c r="AD124" t="s">
        <v>367</v>
      </c>
    </row>
    <row r="125" spans="1:30" x14ac:dyDescent="0.35">
      <c r="A125" t="s">
        <v>30</v>
      </c>
      <c r="B125">
        <v>2016</v>
      </c>
      <c r="C125" t="s">
        <v>146</v>
      </c>
      <c r="D125" t="s">
        <v>367</v>
      </c>
      <c r="E125" t="s">
        <v>497</v>
      </c>
      <c r="F125" t="s">
        <v>340</v>
      </c>
      <c r="G125" t="s">
        <v>490</v>
      </c>
      <c r="H125" t="s">
        <v>200</v>
      </c>
      <c r="I125" t="s">
        <v>429</v>
      </c>
      <c r="J125" t="s">
        <v>556</v>
      </c>
      <c r="K125" t="s">
        <v>557</v>
      </c>
      <c r="L125" t="s">
        <v>108</v>
      </c>
      <c r="M125" t="s">
        <v>440</v>
      </c>
      <c r="N125" t="s">
        <v>319</v>
      </c>
      <c r="O125" t="s">
        <v>558</v>
      </c>
      <c r="P125" t="s">
        <v>548</v>
      </c>
      <c r="Q125" t="s">
        <v>559</v>
      </c>
      <c r="R125" t="s">
        <v>528</v>
      </c>
      <c r="S125" t="s">
        <v>491</v>
      </c>
      <c r="T125" t="s">
        <v>414</v>
      </c>
      <c r="U125" t="s">
        <v>48</v>
      </c>
      <c r="V125" t="s">
        <v>379</v>
      </c>
      <c r="W125" t="s">
        <v>304</v>
      </c>
      <c r="X125" t="s">
        <v>381</v>
      </c>
      <c r="Y125" t="s">
        <v>208</v>
      </c>
      <c r="Z125" t="s">
        <v>264</v>
      </c>
      <c r="AA125" t="s">
        <v>524</v>
      </c>
      <c r="AB125" t="s">
        <v>272</v>
      </c>
      <c r="AC125" t="s">
        <v>317</v>
      </c>
      <c r="AD125" t="s">
        <v>423</v>
      </c>
    </row>
    <row r="126" spans="1:30" x14ac:dyDescent="0.35">
      <c r="A126" t="s">
        <v>54</v>
      </c>
      <c r="B126">
        <v>2016</v>
      </c>
      <c r="C126" t="s">
        <v>146</v>
      </c>
      <c r="D126" t="s">
        <v>308</v>
      </c>
      <c r="E126" t="s">
        <v>560</v>
      </c>
      <c r="F126" t="s">
        <v>394</v>
      </c>
      <c r="G126" t="s">
        <v>457</v>
      </c>
      <c r="H126" t="s">
        <v>88</v>
      </c>
      <c r="I126" t="s">
        <v>537</v>
      </c>
      <c r="J126" t="s">
        <v>561</v>
      </c>
      <c r="K126" t="s">
        <v>562</v>
      </c>
      <c r="L126" t="s">
        <v>205</v>
      </c>
      <c r="M126" t="s">
        <v>563</v>
      </c>
      <c r="N126" t="s">
        <v>300</v>
      </c>
      <c r="O126" t="s">
        <v>564</v>
      </c>
      <c r="P126" t="s">
        <v>498</v>
      </c>
      <c r="Q126" t="s">
        <v>565</v>
      </c>
      <c r="R126" t="s">
        <v>371</v>
      </c>
      <c r="S126" t="s">
        <v>299</v>
      </c>
      <c r="T126" t="s">
        <v>340</v>
      </c>
      <c r="U126" t="s">
        <v>287</v>
      </c>
      <c r="V126" t="s">
        <v>212</v>
      </c>
      <c r="W126" t="s">
        <v>351</v>
      </c>
      <c r="X126" t="s">
        <v>314</v>
      </c>
      <c r="Y126" t="s">
        <v>144</v>
      </c>
      <c r="Z126" t="s">
        <v>272</v>
      </c>
      <c r="AA126" t="s">
        <v>304</v>
      </c>
      <c r="AB126" t="s">
        <v>263</v>
      </c>
      <c r="AC126" t="s">
        <v>191</v>
      </c>
      <c r="AD126" t="s">
        <v>391</v>
      </c>
    </row>
    <row r="127" spans="1:30" x14ac:dyDescent="0.35">
      <c r="A127" t="s">
        <v>73</v>
      </c>
      <c r="B127">
        <v>2016</v>
      </c>
      <c r="C127" t="s">
        <v>146</v>
      </c>
      <c r="D127" t="s">
        <v>301</v>
      </c>
      <c r="E127" t="s">
        <v>372</v>
      </c>
      <c r="F127" t="s">
        <v>312</v>
      </c>
      <c r="G127" t="s">
        <v>417</v>
      </c>
      <c r="H127" t="s">
        <v>212</v>
      </c>
      <c r="I127" t="s">
        <v>534</v>
      </c>
      <c r="J127" t="s">
        <v>566</v>
      </c>
      <c r="K127" t="s">
        <v>203</v>
      </c>
      <c r="L127" t="s">
        <v>109</v>
      </c>
      <c r="M127" t="s">
        <v>528</v>
      </c>
      <c r="N127" t="s">
        <v>337</v>
      </c>
      <c r="O127" t="s">
        <v>535</v>
      </c>
      <c r="P127" t="s">
        <v>539</v>
      </c>
      <c r="Q127" t="s">
        <v>567</v>
      </c>
      <c r="R127" t="s">
        <v>472</v>
      </c>
      <c r="S127" t="s">
        <v>397</v>
      </c>
      <c r="T127" t="s">
        <v>465</v>
      </c>
      <c r="U127" t="s">
        <v>287</v>
      </c>
      <c r="V127" t="s">
        <v>317</v>
      </c>
      <c r="W127" t="s">
        <v>319</v>
      </c>
      <c r="X127" t="s">
        <v>264</v>
      </c>
      <c r="Y127" t="s">
        <v>139</v>
      </c>
      <c r="Z127" t="s">
        <v>288</v>
      </c>
      <c r="AA127" t="s">
        <v>328</v>
      </c>
      <c r="AB127" t="s">
        <v>266</v>
      </c>
      <c r="AC127" t="s">
        <v>281</v>
      </c>
      <c r="AD127" t="s">
        <v>409</v>
      </c>
    </row>
    <row r="128" spans="1:30" x14ac:dyDescent="0.35">
      <c r="A128" t="s">
        <v>30</v>
      </c>
      <c r="B128">
        <v>2016</v>
      </c>
      <c r="C128" t="s">
        <v>163</v>
      </c>
      <c r="D128" t="s">
        <v>304</v>
      </c>
      <c r="E128" t="s">
        <v>509</v>
      </c>
      <c r="F128" t="s">
        <v>504</v>
      </c>
      <c r="G128" t="s">
        <v>500</v>
      </c>
      <c r="H128" t="s">
        <v>305</v>
      </c>
      <c r="I128" t="s">
        <v>568</v>
      </c>
      <c r="J128" t="s">
        <v>569</v>
      </c>
      <c r="K128" t="s">
        <v>570</v>
      </c>
      <c r="L128" t="s">
        <v>164</v>
      </c>
      <c r="M128" t="s">
        <v>436</v>
      </c>
      <c r="N128" t="s">
        <v>332</v>
      </c>
      <c r="O128" t="s">
        <v>571</v>
      </c>
      <c r="P128" t="s">
        <v>486</v>
      </c>
      <c r="Q128" t="s">
        <v>572</v>
      </c>
      <c r="R128" t="s">
        <v>559</v>
      </c>
      <c r="S128" t="s">
        <v>482</v>
      </c>
      <c r="T128" t="s">
        <v>534</v>
      </c>
      <c r="U128" t="s">
        <v>48</v>
      </c>
      <c r="V128" t="s">
        <v>385</v>
      </c>
      <c r="W128" t="s">
        <v>573</v>
      </c>
      <c r="X128" t="s">
        <v>162</v>
      </c>
      <c r="Y128" t="s">
        <v>177</v>
      </c>
      <c r="Z128" t="s">
        <v>348</v>
      </c>
      <c r="AA128" t="s">
        <v>405</v>
      </c>
      <c r="AB128" t="s">
        <v>291</v>
      </c>
      <c r="AC128" t="s">
        <v>318</v>
      </c>
      <c r="AD128" t="s">
        <v>382</v>
      </c>
    </row>
    <row r="129" spans="1:30" x14ac:dyDescent="0.35">
      <c r="A129" t="s">
        <v>54</v>
      </c>
      <c r="B129">
        <v>2016</v>
      </c>
      <c r="C129" t="s">
        <v>163</v>
      </c>
      <c r="D129" t="s">
        <v>387</v>
      </c>
      <c r="E129" t="s">
        <v>574</v>
      </c>
      <c r="F129" t="s">
        <v>575</v>
      </c>
      <c r="G129" t="s">
        <v>389</v>
      </c>
      <c r="H129" t="s">
        <v>149</v>
      </c>
      <c r="I129" t="s">
        <v>526</v>
      </c>
      <c r="J129" t="s">
        <v>576</v>
      </c>
      <c r="K129" t="s">
        <v>577</v>
      </c>
      <c r="L129" t="s">
        <v>222</v>
      </c>
      <c r="M129" t="s">
        <v>560</v>
      </c>
      <c r="N129" t="s">
        <v>288</v>
      </c>
      <c r="O129" t="s">
        <v>310</v>
      </c>
      <c r="P129" t="s">
        <v>578</v>
      </c>
      <c r="Q129" t="s">
        <v>579</v>
      </c>
      <c r="R129" t="s">
        <v>420</v>
      </c>
      <c r="S129" t="s">
        <v>299</v>
      </c>
      <c r="T129" t="s">
        <v>364</v>
      </c>
      <c r="U129" t="s">
        <v>319</v>
      </c>
      <c r="V129" t="s">
        <v>212</v>
      </c>
      <c r="W129" t="s">
        <v>253</v>
      </c>
      <c r="X129" t="s">
        <v>291</v>
      </c>
      <c r="Y129" t="s">
        <v>174</v>
      </c>
      <c r="Z129" t="s">
        <v>293</v>
      </c>
      <c r="AA129" t="s">
        <v>405</v>
      </c>
      <c r="AB129" t="s">
        <v>298</v>
      </c>
      <c r="AC129" t="s">
        <v>272</v>
      </c>
      <c r="AD129" t="s">
        <v>446</v>
      </c>
    </row>
    <row r="130" spans="1:30" x14ac:dyDescent="0.35">
      <c r="A130" t="s">
        <v>73</v>
      </c>
      <c r="B130">
        <v>2016</v>
      </c>
      <c r="C130" t="s">
        <v>163</v>
      </c>
      <c r="D130" t="s">
        <v>249</v>
      </c>
      <c r="E130" t="s">
        <v>580</v>
      </c>
      <c r="F130" t="s">
        <v>376</v>
      </c>
      <c r="G130" t="s">
        <v>549</v>
      </c>
      <c r="H130" t="s">
        <v>177</v>
      </c>
      <c r="I130" t="s">
        <v>581</v>
      </c>
      <c r="J130" t="s">
        <v>459</v>
      </c>
      <c r="K130" t="s">
        <v>582</v>
      </c>
      <c r="L130" t="s">
        <v>142</v>
      </c>
      <c r="M130" t="s">
        <v>310</v>
      </c>
      <c r="N130" t="s">
        <v>302</v>
      </c>
      <c r="O130" t="s">
        <v>583</v>
      </c>
      <c r="P130" t="s">
        <v>584</v>
      </c>
      <c r="Q130" t="s">
        <v>538</v>
      </c>
      <c r="R130" t="s">
        <v>549</v>
      </c>
      <c r="S130" t="s">
        <v>371</v>
      </c>
      <c r="T130" t="s">
        <v>333</v>
      </c>
      <c r="U130" t="s">
        <v>319</v>
      </c>
      <c r="V130" t="s">
        <v>322</v>
      </c>
      <c r="W130" t="s">
        <v>364</v>
      </c>
      <c r="X130" t="s">
        <v>270</v>
      </c>
      <c r="Y130" t="s">
        <v>113</v>
      </c>
      <c r="Z130" t="s">
        <v>311</v>
      </c>
      <c r="AA130" t="s">
        <v>405</v>
      </c>
      <c r="AB130" t="s">
        <v>248</v>
      </c>
      <c r="AC130" t="s">
        <v>269</v>
      </c>
      <c r="AD130" t="s">
        <v>338</v>
      </c>
    </row>
    <row r="131" spans="1:30" x14ac:dyDescent="0.35">
      <c r="A131" t="s">
        <v>30</v>
      </c>
      <c r="B131">
        <v>2016</v>
      </c>
      <c r="C131" t="s">
        <v>182</v>
      </c>
      <c r="D131" t="s">
        <v>409</v>
      </c>
      <c r="E131" t="s">
        <v>583</v>
      </c>
      <c r="F131" t="s">
        <v>453</v>
      </c>
      <c r="G131" t="s">
        <v>473</v>
      </c>
      <c r="H131" t="s">
        <v>272</v>
      </c>
      <c r="I131" t="s">
        <v>585</v>
      </c>
      <c r="J131" t="s">
        <v>586</v>
      </c>
      <c r="K131" t="s">
        <v>587</v>
      </c>
      <c r="L131" t="s">
        <v>147</v>
      </c>
      <c r="M131" t="s">
        <v>588</v>
      </c>
      <c r="N131" t="s">
        <v>391</v>
      </c>
      <c r="O131" t="s">
        <v>589</v>
      </c>
      <c r="P131" t="s">
        <v>572</v>
      </c>
      <c r="Q131" t="s">
        <v>185</v>
      </c>
      <c r="R131" t="s">
        <v>581</v>
      </c>
      <c r="S131" t="s">
        <v>382</v>
      </c>
      <c r="T131" t="s">
        <v>485</v>
      </c>
      <c r="U131" t="s">
        <v>48</v>
      </c>
      <c r="V131" t="s">
        <v>315</v>
      </c>
      <c r="W131" t="s">
        <v>404</v>
      </c>
      <c r="X131" t="s">
        <v>297</v>
      </c>
      <c r="Y131" t="s">
        <v>218</v>
      </c>
      <c r="Z131" t="s">
        <v>287</v>
      </c>
      <c r="AA131" t="s">
        <v>423</v>
      </c>
      <c r="AB131" t="s">
        <v>259</v>
      </c>
      <c r="AC131" t="s">
        <v>345</v>
      </c>
      <c r="AD131" t="s">
        <v>549</v>
      </c>
    </row>
    <row r="132" spans="1:30" x14ac:dyDescent="0.35">
      <c r="A132" t="s">
        <v>54</v>
      </c>
      <c r="B132">
        <v>2016</v>
      </c>
      <c r="C132" t="s">
        <v>182</v>
      </c>
      <c r="D132" t="s">
        <v>371</v>
      </c>
      <c r="E132" t="s">
        <v>368</v>
      </c>
      <c r="F132" t="s">
        <v>320</v>
      </c>
      <c r="G132" t="s">
        <v>482</v>
      </c>
      <c r="H132" t="s">
        <v>229</v>
      </c>
      <c r="I132" t="s">
        <v>471</v>
      </c>
      <c r="J132" t="s">
        <v>590</v>
      </c>
      <c r="K132" t="s">
        <v>591</v>
      </c>
      <c r="L132" t="s">
        <v>126</v>
      </c>
      <c r="M132" t="s">
        <v>592</v>
      </c>
      <c r="N132" t="s">
        <v>269</v>
      </c>
      <c r="O132" t="s">
        <v>535</v>
      </c>
      <c r="P132" t="s">
        <v>486</v>
      </c>
      <c r="Q132" t="s">
        <v>156</v>
      </c>
      <c r="R132" t="s">
        <v>312</v>
      </c>
      <c r="S132" t="s">
        <v>280</v>
      </c>
      <c r="T132" t="s">
        <v>332</v>
      </c>
      <c r="U132" t="s">
        <v>332</v>
      </c>
      <c r="V132" t="s">
        <v>181</v>
      </c>
      <c r="W132" t="s">
        <v>257</v>
      </c>
      <c r="X132" t="s">
        <v>258</v>
      </c>
      <c r="Y132" t="s">
        <v>100</v>
      </c>
      <c r="Z132" t="s">
        <v>314</v>
      </c>
      <c r="AA132" t="s">
        <v>431</v>
      </c>
      <c r="AB132" t="s">
        <v>291</v>
      </c>
      <c r="AC132" t="s">
        <v>272</v>
      </c>
      <c r="AD132" t="s">
        <v>400</v>
      </c>
    </row>
    <row r="133" spans="1:30" x14ac:dyDescent="0.35">
      <c r="A133" t="s">
        <v>73</v>
      </c>
      <c r="B133">
        <v>2016</v>
      </c>
      <c r="C133" t="s">
        <v>182</v>
      </c>
      <c r="D133" t="s">
        <v>304</v>
      </c>
      <c r="E133" t="s">
        <v>538</v>
      </c>
      <c r="F133" t="s">
        <v>491</v>
      </c>
      <c r="G133" t="s">
        <v>412</v>
      </c>
      <c r="H133" t="s">
        <v>95</v>
      </c>
      <c r="I133" t="s">
        <v>535</v>
      </c>
      <c r="J133" t="s">
        <v>593</v>
      </c>
      <c r="K133" t="s">
        <v>594</v>
      </c>
      <c r="L133" t="s">
        <v>94</v>
      </c>
      <c r="M133" t="s">
        <v>535</v>
      </c>
      <c r="N133" t="s">
        <v>287</v>
      </c>
      <c r="O133" t="s">
        <v>509</v>
      </c>
      <c r="P133" t="s">
        <v>444</v>
      </c>
      <c r="Q133" t="s">
        <v>585</v>
      </c>
      <c r="R133" t="s">
        <v>412</v>
      </c>
      <c r="S133" t="s">
        <v>385</v>
      </c>
      <c r="T133" t="s">
        <v>421</v>
      </c>
      <c r="U133" t="s">
        <v>332</v>
      </c>
      <c r="V133" t="s">
        <v>374</v>
      </c>
      <c r="W133" t="s">
        <v>380</v>
      </c>
      <c r="X133" t="s">
        <v>331</v>
      </c>
      <c r="Y133" t="s">
        <v>166</v>
      </c>
      <c r="Z133" t="s">
        <v>296</v>
      </c>
      <c r="AA133" t="s">
        <v>435</v>
      </c>
      <c r="AB133" t="s">
        <v>281</v>
      </c>
      <c r="AC133" t="s">
        <v>279</v>
      </c>
      <c r="AD133" t="s">
        <v>338</v>
      </c>
    </row>
    <row r="134" spans="1:30" x14ac:dyDescent="0.35">
      <c r="A134" t="s">
        <v>30</v>
      </c>
      <c r="B134">
        <v>2016</v>
      </c>
      <c r="C134" t="s">
        <v>197</v>
      </c>
      <c r="D134" t="s">
        <v>405</v>
      </c>
      <c r="E134" t="s">
        <v>498</v>
      </c>
      <c r="F134" t="s">
        <v>418</v>
      </c>
      <c r="G134" t="s">
        <v>537</v>
      </c>
      <c r="H134" t="s">
        <v>224</v>
      </c>
      <c r="I134" t="s">
        <v>558</v>
      </c>
      <c r="J134" t="s">
        <v>438</v>
      </c>
      <c r="K134" t="s">
        <v>595</v>
      </c>
      <c r="L134" t="s">
        <v>166</v>
      </c>
      <c r="M134" t="s">
        <v>471</v>
      </c>
      <c r="N134" t="s">
        <v>358</v>
      </c>
      <c r="O134" t="s">
        <v>510</v>
      </c>
      <c r="P134" t="s">
        <v>559</v>
      </c>
      <c r="Q134" t="s">
        <v>571</v>
      </c>
      <c r="R134" t="s">
        <v>568</v>
      </c>
      <c r="S134" t="s">
        <v>549</v>
      </c>
      <c r="T134" t="s">
        <v>581</v>
      </c>
      <c r="U134" t="s">
        <v>48</v>
      </c>
      <c r="V134" t="s">
        <v>328</v>
      </c>
      <c r="W134" t="s">
        <v>338</v>
      </c>
      <c r="X134" t="s">
        <v>477</v>
      </c>
      <c r="Y134" t="s">
        <v>151</v>
      </c>
      <c r="Z134" t="s">
        <v>365</v>
      </c>
      <c r="AA134" t="s">
        <v>482</v>
      </c>
      <c r="AB134" t="s">
        <v>327</v>
      </c>
      <c r="AC134" t="s">
        <v>360</v>
      </c>
      <c r="AD134" t="s">
        <v>518</v>
      </c>
    </row>
    <row r="135" spans="1:30" x14ac:dyDescent="0.35">
      <c r="A135" t="s">
        <v>54</v>
      </c>
      <c r="B135">
        <v>2016</v>
      </c>
      <c r="C135" t="s">
        <v>197</v>
      </c>
      <c r="D135" t="s">
        <v>391</v>
      </c>
      <c r="E135" t="s">
        <v>555</v>
      </c>
      <c r="F135" t="s">
        <v>404</v>
      </c>
      <c r="G135" t="s">
        <v>417</v>
      </c>
      <c r="H135" t="s">
        <v>178</v>
      </c>
      <c r="I135" t="s">
        <v>410</v>
      </c>
      <c r="J135" t="s">
        <v>596</v>
      </c>
      <c r="K135" t="s">
        <v>597</v>
      </c>
      <c r="L135" t="s">
        <v>273</v>
      </c>
      <c r="M135" t="s">
        <v>250</v>
      </c>
      <c r="N135" t="s">
        <v>279</v>
      </c>
      <c r="O135" t="s">
        <v>583</v>
      </c>
      <c r="P135" t="s">
        <v>598</v>
      </c>
      <c r="Q135" t="s">
        <v>560</v>
      </c>
      <c r="R135" t="s">
        <v>403</v>
      </c>
      <c r="S135" t="s">
        <v>300</v>
      </c>
      <c r="T135" t="s">
        <v>301</v>
      </c>
      <c r="U135" t="s">
        <v>420</v>
      </c>
      <c r="V135" t="s">
        <v>176</v>
      </c>
      <c r="W135" t="s">
        <v>349</v>
      </c>
      <c r="X135" t="s">
        <v>280</v>
      </c>
      <c r="Y135" t="s">
        <v>229</v>
      </c>
      <c r="Z135" t="s">
        <v>219</v>
      </c>
      <c r="AA135" t="s">
        <v>491</v>
      </c>
      <c r="AB135" t="s">
        <v>258</v>
      </c>
      <c r="AC135" t="s">
        <v>248</v>
      </c>
      <c r="AD135" t="s">
        <v>379</v>
      </c>
    </row>
    <row r="136" spans="1:30" x14ac:dyDescent="0.35">
      <c r="A136" t="s">
        <v>73</v>
      </c>
      <c r="B136">
        <v>2016</v>
      </c>
      <c r="C136" t="s">
        <v>197</v>
      </c>
      <c r="D136" t="s">
        <v>260</v>
      </c>
      <c r="E136" t="s">
        <v>572</v>
      </c>
      <c r="F136" t="s">
        <v>418</v>
      </c>
      <c r="G136" t="s">
        <v>377</v>
      </c>
      <c r="H136" t="s">
        <v>193</v>
      </c>
      <c r="I136" t="s">
        <v>599</v>
      </c>
      <c r="J136" t="s">
        <v>600</v>
      </c>
      <c r="K136" t="s">
        <v>499</v>
      </c>
      <c r="L136" t="s">
        <v>159</v>
      </c>
      <c r="M136" t="s">
        <v>583</v>
      </c>
      <c r="N136" t="s">
        <v>393</v>
      </c>
      <c r="O136" t="s">
        <v>585</v>
      </c>
      <c r="P136" t="s">
        <v>575</v>
      </c>
      <c r="Q136" t="s">
        <v>369</v>
      </c>
      <c r="R136" t="s">
        <v>552</v>
      </c>
      <c r="S136" t="s">
        <v>367</v>
      </c>
      <c r="T136" t="s">
        <v>434</v>
      </c>
      <c r="U136" t="s">
        <v>420</v>
      </c>
      <c r="V136" t="s">
        <v>264</v>
      </c>
      <c r="W136" t="s">
        <v>420</v>
      </c>
      <c r="X136" t="s">
        <v>346</v>
      </c>
      <c r="Y136" t="s">
        <v>183</v>
      </c>
      <c r="Z136" t="s">
        <v>237</v>
      </c>
      <c r="AA136" t="s">
        <v>389</v>
      </c>
      <c r="AB136" t="s">
        <v>279</v>
      </c>
      <c r="AC136" t="s">
        <v>327</v>
      </c>
      <c r="AD136" t="s">
        <v>394</v>
      </c>
    </row>
    <row r="137" spans="1:30" x14ac:dyDescent="0.35">
      <c r="A137" t="s">
        <v>30</v>
      </c>
      <c r="B137">
        <v>2016</v>
      </c>
      <c r="C137" t="s">
        <v>207</v>
      </c>
      <c r="D137" t="s">
        <v>406</v>
      </c>
      <c r="E137" t="s">
        <v>486</v>
      </c>
      <c r="F137" t="s">
        <v>409</v>
      </c>
      <c r="G137" t="s">
        <v>548</v>
      </c>
      <c r="H137" t="s">
        <v>219</v>
      </c>
      <c r="I137" t="s">
        <v>584</v>
      </c>
      <c r="J137" t="s">
        <v>601</v>
      </c>
      <c r="K137" t="s">
        <v>602</v>
      </c>
      <c r="L137" t="s">
        <v>127</v>
      </c>
      <c r="M137" t="s">
        <v>528</v>
      </c>
      <c r="N137" t="s">
        <v>403</v>
      </c>
      <c r="O137" t="s">
        <v>603</v>
      </c>
      <c r="P137" t="s">
        <v>429</v>
      </c>
      <c r="Q137" t="s">
        <v>604</v>
      </c>
      <c r="R137" t="s">
        <v>605</v>
      </c>
      <c r="S137" t="s">
        <v>436</v>
      </c>
      <c r="T137" t="s">
        <v>583</v>
      </c>
      <c r="U137" t="s">
        <v>48</v>
      </c>
      <c r="V137" t="s">
        <v>342</v>
      </c>
      <c r="W137" t="s">
        <v>389</v>
      </c>
      <c r="X137" t="s">
        <v>403</v>
      </c>
      <c r="Y137" t="s">
        <v>168</v>
      </c>
      <c r="Z137" t="s">
        <v>388</v>
      </c>
      <c r="AA137" t="s">
        <v>382</v>
      </c>
      <c r="AB137" t="s">
        <v>336</v>
      </c>
      <c r="AC137" t="s">
        <v>365</v>
      </c>
      <c r="AD137" t="s">
        <v>434</v>
      </c>
    </row>
    <row r="138" spans="1:30" x14ac:dyDescent="0.35">
      <c r="A138" t="s">
        <v>54</v>
      </c>
      <c r="B138">
        <v>2016</v>
      </c>
      <c r="C138" t="s">
        <v>207</v>
      </c>
      <c r="D138" t="s">
        <v>403</v>
      </c>
      <c r="E138" t="s">
        <v>584</v>
      </c>
      <c r="F138" t="s">
        <v>453</v>
      </c>
      <c r="G138" t="s">
        <v>333</v>
      </c>
      <c r="H138" t="s">
        <v>153</v>
      </c>
      <c r="I138" t="s">
        <v>375</v>
      </c>
      <c r="J138" t="s">
        <v>606</v>
      </c>
      <c r="K138" t="s">
        <v>607</v>
      </c>
      <c r="L138" t="s">
        <v>138</v>
      </c>
      <c r="M138" t="s">
        <v>608</v>
      </c>
      <c r="N138" t="s">
        <v>230</v>
      </c>
      <c r="O138" t="s">
        <v>605</v>
      </c>
      <c r="P138" t="s">
        <v>528</v>
      </c>
      <c r="Q138" t="s">
        <v>609</v>
      </c>
      <c r="R138" t="s">
        <v>315</v>
      </c>
      <c r="S138" t="s">
        <v>269</v>
      </c>
      <c r="T138" t="s">
        <v>379</v>
      </c>
      <c r="U138" t="s">
        <v>403</v>
      </c>
      <c r="V138" t="s">
        <v>255</v>
      </c>
      <c r="W138" t="s">
        <v>270</v>
      </c>
      <c r="X138" t="s">
        <v>326</v>
      </c>
      <c r="Y138" t="s">
        <v>101</v>
      </c>
      <c r="Z138" t="s">
        <v>258</v>
      </c>
      <c r="AA138" t="s">
        <v>423</v>
      </c>
      <c r="AB138" t="s">
        <v>219</v>
      </c>
      <c r="AC138" t="s">
        <v>291</v>
      </c>
      <c r="AD138" t="s">
        <v>367</v>
      </c>
    </row>
    <row r="139" spans="1:30" x14ac:dyDescent="0.35">
      <c r="A139" t="s">
        <v>73</v>
      </c>
      <c r="B139">
        <v>2016</v>
      </c>
      <c r="C139" t="s">
        <v>207</v>
      </c>
      <c r="D139" t="s">
        <v>418</v>
      </c>
      <c r="E139" t="s">
        <v>444</v>
      </c>
      <c r="F139" t="s">
        <v>524</v>
      </c>
      <c r="G139" t="s">
        <v>542</v>
      </c>
      <c r="H139" t="s">
        <v>168</v>
      </c>
      <c r="I139" t="s">
        <v>461</v>
      </c>
      <c r="J139" t="s">
        <v>610</v>
      </c>
      <c r="K139" t="s">
        <v>611</v>
      </c>
      <c r="L139" t="s">
        <v>238</v>
      </c>
      <c r="M139" t="s">
        <v>538</v>
      </c>
      <c r="N139" t="s">
        <v>292</v>
      </c>
      <c r="O139" t="s">
        <v>612</v>
      </c>
      <c r="P139" t="s">
        <v>526</v>
      </c>
      <c r="Q139" t="s">
        <v>545</v>
      </c>
      <c r="R139" t="s">
        <v>537</v>
      </c>
      <c r="S139" t="s">
        <v>315</v>
      </c>
      <c r="T139" t="s">
        <v>500</v>
      </c>
      <c r="U139" t="s">
        <v>403</v>
      </c>
      <c r="V139" t="s">
        <v>349</v>
      </c>
      <c r="W139" t="s">
        <v>400</v>
      </c>
      <c r="X139" t="s">
        <v>292</v>
      </c>
      <c r="Y139" t="s">
        <v>255</v>
      </c>
      <c r="Z139" t="s">
        <v>253</v>
      </c>
      <c r="AA139" t="s">
        <v>481</v>
      </c>
      <c r="AB139" t="s">
        <v>279</v>
      </c>
      <c r="AC139" t="s">
        <v>322</v>
      </c>
      <c r="AD139" t="s">
        <v>396</v>
      </c>
    </row>
    <row r="140" spans="1:30" x14ac:dyDescent="0.35">
      <c r="A140" t="s">
        <v>30</v>
      </c>
      <c r="B140">
        <v>2016</v>
      </c>
      <c r="C140" t="s">
        <v>233</v>
      </c>
      <c r="D140" t="s">
        <v>465</v>
      </c>
      <c r="E140" t="s">
        <v>429</v>
      </c>
      <c r="F140" t="s">
        <v>404</v>
      </c>
      <c r="G140" t="s">
        <v>613</v>
      </c>
      <c r="H140" t="s">
        <v>299</v>
      </c>
      <c r="I140" t="s">
        <v>564</v>
      </c>
      <c r="J140" t="s">
        <v>545</v>
      </c>
      <c r="K140" t="s">
        <v>614</v>
      </c>
      <c r="L140" t="s">
        <v>127</v>
      </c>
      <c r="M140" t="s">
        <v>539</v>
      </c>
      <c r="N140" t="s">
        <v>403</v>
      </c>
      <c r="O140" t="s">
        <v>615</v>
      </c>
      <c r="P140" t="s">
        <v>575</v>
      </c>
      <c r="Q140" t="s">
        <v>580</v>
      </c>
      <c r="R140" t="s">
        <v>571</v>
      </c>
      <c r="S140" t="s">
        <v>500</v>
      </c>
      <c r="T140" t="s">
        <v>558</v>
      </c>
      <c r="U140" t="s">
        <v>48</v>
      </c>
      <c r="V140" t="s">
        <v>453</v>
      </c>
      <c r="W140" t="s">
        <v>313</v>
      </c>
      <c r="X140" t="s">
        <v>315</v>
      </c>
      <c r="Y140" t="s">
        <v>289</v>
      </c>
      <c r="Z140" t="s">
        <v>364</v>
      </c>
      <c r="AA140" t="s">
        <v>320</v>
      </c>
      <c r="AB140" t="s">
        <v>253</v>
      </c>
      <c r="AC140" t="s">
        <v>292</v>
      </c>
      <c r="AD140" t="s">
        <v>490</v>
      </c>
    </row>
    <row r="141" spans="1:30" x14ac:dyDescent="0.35">
      <c r="A141" t="s">
        <v>54</v>
      </c>
      <c r="B141">
        <v>2016</v>
      </c>
      <c r="C141" t="s">
        <v>233</v>
      </c>
      <c r="D141" t="s">
        <v>524</v>
      </c>
      <c r="E141" t="s">
        <v>568</v>
      </c>
      <c r="F141" t="s">
        <v>412</v>
      </c>
      <c r="G141" t="s">
        <v>472</v>
      </c>
      <c r="H141" t="s">
        <v>180</v>
      </c>
      <c r="I141" t="s">
        <v>405</v>
      </c>
      <c r="J141" t="s">
        <v>616</v>
      </c>
      <c r="K141" t="s">
        <v>617</v>
      </c>
      <c r="L141" t="s">
        <v>192</v>
      </c>
      <c r="M141" t="s">
        <v>254</v>
      </c>
      <c r="N141" t="s">
        <v>296</v>
      </c>
      <c r="O141" t="s">
        <v>368</v>
      </c>
      <c r="P141" t="s">
        <v>422</v>
      </c>
      <c r="Q141" t="s">
        <v>609</v>
      </c>
      <c r="R141" t="s">
        <v>504</v>
      </c>
      <c r="S141" t="s">
        <v>279</v>
      </c>
      <c r="T141" t="s">
        <v>249</v>
      </c>
      <c r="U141" t="s">
        <v>315</v>
      </c>
      <c r="V141" t="s">
        <v>227</v>
      </c>
      <c r="W141" t="s">
        <v>325</v>
      </c>
      <c r="X141" t="s">
        <v>279</v>
      </c>
      <c r="Y141" t="s">
        <v>127</v>
      </c>
      <c r="Z141" t="s">
        <v>288</v>
      </c>
      <c r="AA141" t="s">
        <v>313</v>
      </c>
      <c r="AB141" t="s">
        <v>344</v>
      </c>
      <c r="AC141" t="s">
        <v>344</v>
      </c>
      <c r="AD141" t="s">
        <v>249</v>
      </c>
    </row>
    <row r="142" spans="1:30" x14ac:dyDescent="0.35">
      <c r="A142" t="s">
        <v>73</v>
      </c>
      <c r="B142">
        <v>2016</v>
      </c>
      <c r="C142" t="s">
        <v>233</v>
      </c>
      <c r="D142" t="s">
        <v>396</v>
      </c>
      <c r="E142" t="s">
        <v>581</v>
      </c>
      <c r="F142" t="s">
        <v>465</v>
      </c>
      <c r="G142" t="s">
        <v>527</v>
      </c>
      <c r="H142" t="s">
        <v>148</v>
      </c>
      <c r="I142" t="s">
        <v>412</v>
      </c>
      <c r="J142" t="s">
        <v>618</v>
      </c>
      <c r="K142" t="s">
        <v>554</v>
      </c>
      <c r="L142" t="s">
        <v>238</v>
      </c>
      <c r="M142" t="s">
        <v>521</v>
      </c>
      <c r="N142" t="s">
        <v>381</v>
      </c>
      <c r="O142" t="s">
        <v>545</v>
      </c>
      <c r="P142" t="s">
        <v>599</v>
      </c>
      <c r="Q142" t="s">
        <v>616</v>
      </c>
      <c r="R142" t="s">
        <v>471</v>
      </c>
      <c r="S142" t="s">
        <v>304</v>
      </c>
      <c r="T142" t="s">
        <v>527</v>
      </c>
      <c r="U142" t="s">
        <v>315</v>
      </c>
      <c r="V142" t="s">
        <v>302</v>
      </c>
      <c r="W142" t="s">
        <v>367</v>
      </c>
      <c r="X142" t="s">
        <v>319</v>
      </c>
      <c r="Y142" t="s">
        <v>198</v>
      </c>
      <c r="Z142" t="s">
        <v>357</v>
      </c>
      <c r="AA142" t="s">
        <v>427</v>
      </c>
      <c r="AB142" t="s">
        <v>234</v>
      </c>
      <c r="AC142" t="s">
        <v>318</v>
      </c>
      <c r="AD142" t="s">
        <v>309</v>
      </c>
    </row>
    <row r="143" spans="1:30" x14ac:dyDescent="0.35">
      <c r="A143" t="s">
        <v>30</v>
      </c>
      <c r="B143">
        <v>2016</v>
      </c>
      <c r="C143" t="s">
        <v>242</v>
      </c>
      <c r="D143" t="s">
        <v>417</v>
      </c>
      <c r="E143" t="s">
        <v>619</v>
      </c>
      <c r="F143" t="s">
        <v>491</v>
      </c>
      <c r="G143" t="s">
        <v>528</v>
      </c>
      <c r="H143" t="s">
        <v>300</v>
      </c>
      <c r="I143" t="s">
        <v>414</v>
      </c>
      <c r="J143" t="s">
        <v>402</v>
      </c>
      <c r="K143" t="s">
        <v>620</v>
      </c>
      <c r="L143" t="s">
        <v>159</v>
      </c>
      <c r="M143" t="s">
        <v>310</v>
      </c>
      <c r="N143" t="s">
        <v>315</v>
      </c>
      <c r="O143" t="s">
        <v>156</v>
      </c>
      <c r="P143" t="s">
        <v>461</v>
      </c>
      <c r="Q143" t="s">
        <v>603</v>
      </c>
      <c r="R143" t="s">
        <v>541</v>
      </c>
      <c r="S143" t="s">
        <v>422</v>
      </c>
      <c r="T143" t="s">
        <v>521</v>
      </c>
      <c r="U143" t="s">
        <v>48</v>
      </c>
      <c r="V143" t="s">
        <v>465</v>
      </c>
      <c r="W143" t="s">
        <v>472</v>
      </c>
      <c r="X143" t="s">
        <v>328</v>
      </c>
      <c r="Y143" t="s">
        <v>200</v>
      </c>
      <c r="Z143" t="s">
        <v>332</v>
      </c>
      <c r="AA143" t="s">
        <v>401</v>
      </c>
      <c r="AB143" t="s">
        <v>269</v>
      </c>
      <c r="AC143" t="s">
        <v>294</v>
      </c>
      <c r="AD143" t="s">
        <v>427</v>
      </c>
    </row>
    <row r="144" spans="1:30" x14ac:dyDescent="0.35">
      <c r="A144" t="s">
        <v>54</v>
      </c>
      <c r="B144">
        <v>2016</v>
      </c>
      <c r="C144" t="s">
        <v>242</v>
      </c>
      <c r="D144" t="s">
        <v>491</v>
      </c>
      <c r="E144" t="s">
        <v>498</v>
      </c>
      <c r="F144" t="s">
        <v>588</v>
      </c>
      <c r="G144" t="s">
        <v>440</v>
      </c>
      <c r="H144" t="s">
        <v>220</v>
      </c>
      <c r="I144" t="s">
        <v>304</v>
      </c>
      <c r="J144" t="s">
        <v>299</v>
      </c>
      <c r="K144" t="s">
        <v>529</v>
      </c>
      <c r="L144" t="s">
        <v>212</v>
      </c>
      <c r="M144" t="s">
        <v>492</v>
      </c>
      <c r="N144" t="s">
        <v>307</v>
      </c>
      <c r="O144" t="s">
        <v>604</v>
      </c>
      <c r="P144" t="s">
        <v>427</v>
      </c>
      <c r="Q144" t="s">
        <v>621</v>
      </c>
      <c r="R144" t="s">
        <v>573</v>
      </c>
      <c r="S144" t="s">
        <v>265</v>
      </c>
      <c r="T144" t="s">
        <v>358</v>
      </c>
      <c r="U144" t="s">
        <v>249</v>
      </c>
      <c r="V144" t="s">
        <v>168</v>
      </c>
      <c r="W144" t="s">
        <v>302</v>
      </c>
      <c r="X144" t="s">
        <v>341</v>
      </c>
      <c r="Y144" t="s">
        <v>206</v>
      </c>
      <c r="Z144" t="s">
        <v>326</v>
      </c>
      <c r="AA144" t="s">
        <v>376</v>
      </c>
      <c r="AB144" t="s">
        <v>272</v>
      </c>
      <c r="AC144" t="s">
        <v>280</v>
      </c>
      <c r="AD144" t="s">
        <v>371</v>
      </c>
    </row>
    <row r="145" spans="1:30" x14ac:dyDescent="0.35">
      <c r="A145" t="s">
        <v>73</v>
      </c>
      <c r="B145">
        <v>2016</v>
      </c>
      <c r="C145" t="s">
        <v>242</v>
      </c>
      <c r="D145" t="s">
        <v>376</v>
      </c>
      <c r="E145" t="s">
        <v>486</v>
      </c>
      <c r="F145" t="s">
        <v>472</v>
      </c>
      <c r="G145" t="s">
        <v>493</v>
      </c>
      <c r="H145" t="s">
        <v>200</v>
      </c>
      <c r="I145" t="s">
        <v>333</v>
      </c>
      <c r="J145" t="s">
        <v>330</v>
      </c>
      <c r="K145" t="s">
        <v>622</v>
      </c>
      <c r="L145" t="s">
        <v>231</v>
      </c>
      <c r="M145" t="s">
        <v>585</v>
      </c>
      <c r="N145" t="s">
        <v>340</v>
      </c>
      <c r="O145" t="s">
        <v>623</v>
      </c>
      <c r="P145" t="s">
        <v>489</v>
      </c>
      <c r="Q145" t="s">
        <v>615</v>
      </c>
      <c r="R145" t="s">
        <v>528</v>
      </c>
      <c r="S145" t="s">
        <v>342</v>
      </c>
      <c r="T145" t="s">
        <v>530</v>
      </c>
      <c r="U145" t="s">
        <v>249</v>
      </c>
      <c r="V145" t="s">
        <v>340</v>
      </c>
      <c r="W145" t="s">
        <v>165</v>
      </c>
      <c r="X145" t="s">
        <v>364</v>
      </c>
      <c r="Y145" t="s">
        <v>218</v>
      </c>
      <c r="Z145" t="s">
        <v>345</v>
      </c>
      <c r="AA145" t="s">
        <v>440</v>
      </c>
      <c r="AB145" t="s">
        <v>299</v>
      </c>
      <c r="AC145" t="s">
        <v>257</v>
      </c>
      <c r="AD145" t="s">
        <v>375</v>
      </c>
    </row>
    <row r="146" spans="1:30" x14ac:dyDescent="0.35">
      <c r="A146" t="s">
        <v>30</v>
      </c>
      <c r="B146">
        <v>2017</v>
      </c>
      <c r="C146" t="s">
        <v>31</v>
      </c>
      <c r="D146" t="s">
        <v>440</v>
      </c>
      <c r="E146" t="s">
        <v>581</v>
      </c>
      <c r="F146" t="s">
        <v>423</v>
      </c>
      <c r="G146" t="s">
        <v>544</v>
      </c>
      <c r="H146" t="s">
        <v>259</v>
      </c>
      <c r="I146" t="s">
        <v>548</v>
      </c>
      <c r="J146" t="s">
        <v>210</v>
      </c>
      <c r="K146" t="s">
        <v>624</v>
      </c>
      <c r="L146" t="s">
        <v>176</v>
      </c>
      <c r="M146" t="s">
        <v>564</v>
      </c>
      <c r="N146" t="s">
        <v>446</v>
      </c>
      <c r="O146" t="s">
        <v>560</v>
      </c>
      <c r="P146" t="s">
        <v>320</v>
      </c>
      <c r="Q146" t="s">
        <v>615</v>
      </c>
      <c r="R146" t="s">
        <v>589</v>
      </c>
      <c r="S146" t="s">
        <v>471</v>
      </c>
      <c r="T146" t="s">
        <v>179</v>
      </c>
      <c r="U146" t="s">
        <v>48</v>
      </c>
      <c r="V146" t="s">
        <v>313</v>
      </c>
      <c r="W146" t="s">
        <v>421</v>
      </c>
      <c r="X146" t="s">
        <v>260</v>
      </c>
      <c r="Y146" t="s">
        <v>201</v>
      </c>
      <c r="Z146" t="s">
        <v>297</v>
      </c>
      <c r="AA146" t="s">
        <v>552</v>
      </c>
      <c r="AB146" t="s">
        <v>341</v>
      </c>
      <c r="AC146" t="s">
        <v>340</v>
      </c>
      <c r="AD146" t="s">
        <v>481</v>
      </c>
    </row>
    <row r="147" spans="1:30" x14ac:dyDescent="0.35">
      <c r="A147" t="s">
        <v>54</v>
      </c>
      <c r="B147">
        <v>2017</v>
      </c>
      <c r="C147" t="s">
        <v>31</v>
      </c>
      <c r="D147" t="s">
        <v>482</v>
      </c>
      <c r="E147" t="s">
        <v>185</v>
      </c>
      <c r="F147" t="s">
        <v>417</v>
      </c>
      <c r="G147" t="s">
        <v>440</v>
      </c>
      <c r="H147" t="s">
        <v>170</v>
      </c>
      <c r="I147" t="s">
        <v>504</v>
      </c>
      <c r="J147" t="s">
        <v>239</v>
      </c>
      <c r="K147" t="s">
        <v>606</v>
      </c>
      <c r="L147" t="s">
        <v>226</v>
      </c>
      <c r="M147" t="s">
        <v>625</v>
      </c>
      <c r="N147" t="s">
        <v>351</v>
      </c>
      <c r="O147" t="s">
        <v>626</v>
      </c>
      <c r="P147" t="s">
        <v>465</v>
      </c>
      <c r="Q147" t="s">
        <v>627</v>
      </c>
      <c r="R147" t="s">
        <v>524</v>
      </c>
      <c r="S147" t="s">
        <v>341</v>
      </c>
      <c r="T147" t="s">
        <v>446</v>
      </c>
      <c r="U147" t="s">
        <v>504</v>
      </c>
      <c r="V147" t="s">
        <v>148</v>
      </c>
      <c r="W147" t="s">
        <v>353</v>
      </c>
      <c r="X147" t="s">
        <v>234</v>
      </c>
      <c r="Y147" t="s">
        <v>255</v>
      </c>
      <c r="Z147" t="s">
        <v>259</v>
      </c>
      <c r="AA147" t="s">
        <v>481</v>
      </c>
      <c r="AB147" t="s">
        <v>291</v>
      </c>
      <c r="AC147" t="s">
        <v>279</v>
      </c>
      <c r="AD147" t="s">
        <v>477</v>
      </c>
    </row>
    <row r="148" spans="1:30" x14ac:dyDescent="0.35">
      <c r="A148" t="s">
        <v>73</v>
      </c>
      <c r="B148">
        <v>2017</v>
      </c>
      <c r="C148" t="s">
        <v>31</v>
      </c>
      <c r="D148" t="s">
        <v>427</v>
      </c>
      <c r="E148" t="s">
        <v>498</v>
      </c>
      <c r="F148" t="s">
        <v>482</v>
      </c>
      <c r="G148" t="s">
        <v>530</v>
      </c>
      <c r="H148" t="s">
        <v>201</v>
      </c>
      <c r="I148" t="s">
        <v>382</v>
      </c>
      <c r="J148" t="s">
        <v>266</v>
      </c>
      <c r="K148" t="s">
        <v>628</v>
      </c>
      <c r="L148" t="s">
        <v>192</v>
      </c>
      <c r="M148" t="s">
        <v>605</v>
      </c>
      <c r="N148" t="s">
        <v>340</v>
      </c>
      <c r="O148" t="s">
        <v>563</v>
      </c>
      <c r="P148" t="s">
        <v>440</v>
      </c>
      <c r="Q148" t="s">
        <v>629</v>
      </c>
      <c r="R148" t="s">
        <v>575</v>
      </c>
      <c r="S148" t="s">
        <v>524</v>
      </c>
      <c r="T148" t="s">
        <v>414</v>
      </c>
      <c r="U148" t="s">
        <v>504</v>
      </c>
      <c r="V148" t="s">
        <v>387</v>
      </c>
      <c r="W148" t="s">
        <v>384</v>
      </c>
      <c r="X148" t="s">
        <v>323</v>
      </c>
      <c r="Y148" t="s">
        <v>151</v>
      </c>
      <c r="Z148" t="s">
        <v>345</v>
      </c>
      <c r="AA148" t="s">
        <v>432</v>
      </c>
      <c r="AB148" t="s">
        <v>288</v>
      </c>
      <c r="AC148" t="s">
        <v>337</v>
      </c>
      <c r="AD148" t="s">
        <v>453</v>
      </c>
    </row>
    <row r="149" spans="1:30" x14ac:dyDescent="0.35">
      <c r="A149" t="s">
        <v>30</v>
      </c>
      <c r="B149">
        <v>2017</v>
      </c>
      <c r="C149" t="s">
        <v>85</v>
      </c>
      <c r="D149" t="s">
        <v>432</v>
      </c>
      <c r="E149" t="s">
        <v>547</v>
      </c>
      <c r="F149" t="s">
        <v>304</v>
      </c>
      <c r="G149" t="s">
        <v>559</v>
      </c>
      <c r="H149" t="s">
        <v>279</v>
      </c>
      <c r="I149" t="s">
        <v>567</v>
      </c>
      <c r="J149" t="s">
        <v>201</v>
      </c>
      <c r="K149" t="s">
        <v>586</v>
      </c>
      <c r="L149" t="s">
        <v>227</v>
      </c>
      <c r="M149" t="s">
        <v>548</v>
      </c>
      <c r="N149" t="s">
        <v>384</v>
      </c>
      <c r="O149" t="s">
        <v>630</v>
      </c>
      <c r="P149" t="s">
        <v>490</v>
      </c>
      <c r="Q149" t="s">
        <v>631</v>
      </c>
      <c r="R149" t="s">
        <v>604</v>
      </c>
      <c r="S149" t="s">
        <v>471</v>
      </c>
      <c r="T149" t="s">
        <v>585</v>
      </c>
      <c r="U149" t="s">
        <v>48</v>
      </c>
      <c r="V149" t="s">
        <v>421</v>
      </c>
      <c r="W149" t="s">
        <v>490</v>
      </c>
      <c r="X149" t="s">
        <v>409</v>
      </c>
      <c r="Y149" t="s">
        <v>305</v>
      </c>
      <c r="Z149" t="s">
        <v>301</v>
      </c>
      <c r="AA149" t="s">
        <v>588</v>
      </c>
      <c r="AB149" t="s">
        <v>351</v>
      </c>
      <c r="AC149" t="s">
        <v>297</v>
      </c>
      <c r="AD149" t="s">
        <v>417</v>
      </c>
    </row>
    <row r="150" spans="1:30" x14ac:dyDescent="0.35">
      <c r="A150" t="s">
        <v>54</v>
      </c>
      <c r="B150">
        <v>2017</v>
      </c>
      <c r="C150" t="s">
        <v>85</v>
      </c>
      <c r="D150" t="s">
        <v>427</v>
      </c>
      <c r="E150" t="s">
        <v>578</v>
      </c>
      <c r="F150" t="s">
        <v>304</v>
      </c>
      <c r="G150" t="s">
        <v>549</v>
      </c>
      <c r="H150" t="s">
        <v>183</v>
      </c>
      <c r="I150" t="s">
        <v>396</v>
      </c>
      <c r="J150" t="s">
        <v>224</v>
      </c>
      <c r="K150" t="s">
        <v>615</v>
      </c>
      <c r="L150" t="s">
        <v>305</v>
      </c>
      <c r="M150" t="s">
        <v>451</v>
      </c>
      <c r="N150" t="s">
        <v>322</v>
      </c>
      <c r="O150" t="s">
        <v>618</v>
      </c>
      <c r="P150" t="s">
        <v>313</v>
      </c>
      <c r="Q150" t="s">
        <v>632</v>
      </c>
      <c r="R150" t="s">
        <v>418</v>
      </c>
      <c r="S150" t="s">
        <v>230</v>
      </c>
      <c r="T150" t="s">
        <v>304</v>
      </c>
      <c r="U150" t="s">
        <v>418</v>
      </c>
      <c r="V150" t="s">
        <v>169</v>
      </c>
      <c r="W150" t="s">
        <v>330</v>
      </c>
      <c r="X150" t="s">
        <v>237</v>
      </c>
      <c r="Y150" t="s">
        <v>212</v>
      </c>
      <c r="Z150" t="s">
        <v>265</v>
      </c>
      <c r="AA150" t="s">
        <v>481</v>
      </c>
      <c r="AB150" t="s">
        <v>288</v>
      </c>
      <c r="AC150" t="s">
        <v>311</v>
      </c>
      <c r="AD150" t="s">
        <v>385</v>
      </c>
    </row>
    <row r="151" spans="1:30" x14ac:dyDescent="0.35">
      <c r="A151" t="s">
        <v>73</v>
      </c>
      <c r="B151">
        <v>2017</v>
      </c>
      <c r="C151" t="s">
        <v>85</v>
      </c>
      <c r="D151" t="s">
        <v>440</v>
      </c>
      <c r="E151" t="s">
        <v>583</v>
      </c>
      <c r="F151" t="s">
        <v>304</v>
      </c>
      <c r="G151" t="s">
        <v>471</v>
      </c>
      <c r="H151" t="s">
        <v>169</v>
      </c>
      <c r="I151" t="s">
        <v>473</v>
      </c>
      <c r="J151" t="s">
        <v>305</v>
      </c>
      <c r="K151" t="s">
        <v>633</v>
      </c>
      <c r="L151" t="s">
        <v>226</v>
      </c>
      <c r="M151" t="s">
        <v>567</v>
      </c>
      <c r="N151" t="s">
        <v>364</v>
      </c>
      <c r="O151" t="s">
        <v>634</v>
      </c>
      <c r="P151" t="s">
        <v>382</v>
      </c>
      <c r="Q151" t="s">
        <v>630</v>
      </c>
      <c r="R151" t="s">
        <v>539</v>
      </c>
      <c r="S151" t="s">
        <v>453</v>
      </c>
      <c r="T151" t="s">
        <v>505</v>
      </c>
      <c r="U151" t="s">
        <v>418</v>
      </c>
      <c r="V151" t="s">
        <v>420</v>
      </c>
      <c r="W151" t="s">
        <v>328</v>
      </c>
      <c r="X151" t="s">
        <v>380</v>
      </c>
      <c r="Y151" t="s">
        <v>232</v>
      </c>
      <c r="Z151" t="s">
        <v>354</v>
      </c>
      <c r="AA151" t="s">
        <v>518</v>
      </c>
      <c r="AB151" t="s">
        <v>234</v>
      </c>
      <c r="AC151" t="s">
        <v>331</v>
      </c>
      <c r="AD151" t="s">
        <v>404</v>
      </c>
    </row>
    <row r="152" spans="1:30" x14ac:dyDescent="0.35">
      <c r="A152" t="s">
        <v>30</v>
      </c>
      <c r="B152">
        <v>2017</v>
      </c>
      <c r="C152" t="s">
        <v>107</v>
      </c>
      <c r="D152" t="s">
        <v>490</v>
      </c>
      <c r="E152" t="s">
        <v>583</v>
      </c>
      <c r="F152" t="s">
        <v>358</v>
      </c>
      <c r="G152" t="s">
        <v>559</v>
      </c>
      <c r="H152" t="s">
        <v>300</v>
      </c>
      <c r="I152" t="s">
        <v>521</v>
      </c>
      <c r="J152" t="s">
        <v>306</v>
      </c>
      <c r="K152" t="s">
        <v>635</v>
      </c>
      <c r="L152" t="s">
        <v>95</v>
      </c>
      <c r="M152" t="s">
        <v>414</v>
      </c>
      <c r="N152" t="s">
        <v>342</v>
      </c>
      <c r="O152" t="s">
        <v>254</v>
      </c>
      <c r="P152" t="s">
        <v>518</v>
      </c>
      <c r="Q152" t="s">
        <v>574</v>
      </c>
      <c r="R152" t="s">
        <v>626</v>
      </c>
      <c r="S152" t="s">
        <v>613</v>
      </c>
      <c r="T152" t="s">
        <v>433</v>
      </c>
      <c r="U152" t="s">
        <v>48</v>
      </c>
      <c r="V152" t="s">
        <v>401</v>
      </c>
      <c r="W152" t="s">
        <v>412</v>
      </c>
      <c r="X152" t="s">
        <v>404</v>
      </c>
      <c r="Y152" t="s">
        <v>210</v>
      </c>
      <c r="Z152" t="s">
        <v>312</v>
      </c>
      <c r="AA152" t="s">
        <v>422</v>
      </c>
      <c r="AB152" t="s">
        <v>317</v>
      </c>
      <c r="AC152" t="s">
        <v>380</v>
      </c>
      <c r="AD152" t="s">
        <v>427</v>
      </c>
    </row>
    <row r="153" spans="1:30" x14ac:dyDescent="0.35">
      <c r="A153" t="s">
        <v>54</v>
      </c>
      <c r="B153">
        <v>2017</v>
      </c>
      <c r="C153" t="s">
        <v>107</v>
      </c>
      <c r="D153" t="s">
        <v>333</v>
      </c>
      <c r="E153" t="s">
        <v>636</v>
      </c>
      <c r="F153" t="s">
        <v>400</v>
      </c>
      <c r="G153" t="s">
        <v>588</v>
      </c>
      <c r="H153" t="s">
        <v>170</v>
      </c>
      <c r="I153" t="s">
        <v>539</v>
      </c>
      <c r="J153" t="s">
        <v>265</v>
      </c>
      <c r="K153" t="s">
        <v>471</v>
      </c>
      <c r="L153" t="s">
        <v>293</v>
      </c>
      <c r="M153" t="s">
        <v>415</v>
      </c>
      <c r="N153" t="s">
        <v>374</v>
      </c>
      <c r="O153" t="s">
        <v>603</v>
      </c>
      <c r="P153" t="s">
        <v>417</v>
      </c>
      <c r="Q153" t="s">
        <v>637</v>
      </c>
      <c r="R153" t="s">
        <v>405</v>
      </c>
      <c r="S153" t="s">
        <v>327</v>
      </c>
      <c r="T153" t="s">
        <v>504</v>
      </c>
      <c r="U153" t="s">
        <v>338</v>
      </c>
      <c r="V153" t="s">
        <v>219</v>
      </c>
      <c r="W153" t="s">
        <v>361</v>
      </c>
      <c r="X153" t="s">
        <v>307</v>
      </c>
      <c r="Y153" t="s">
        <v>192</v>
      </c>
      <c r="Z153" t="s">
        <v>311</v>
      </c>
      <c r="AA153" t="s">
        <v>427</v>
      </c>
      <c r="AB153" t="s">
        <v>288</v>
      </c>
      <c r="AC153" t="s">
        <v>234</v>
      </c>
      <c r="AD153" t="s">
        <v>403</v>
      </c>
    </row>
    <row r="154" spans="1:30" x14ac:dyDescent="0.35">
      <c r="A154" t="s">
        <v>73</v>
      </c>
      <c r="B154">
        <v>2017</v>
      </c>
      <c r="C154" t="s">
        <v>107</v>
      </c>
      <c r="D154" t="s">
        <v>432</v>
      </c>
      <c r="E154" t="s">
        <v>638</v>
      </c>
      <c r="F154" t="s">
        <v>367</v>
      </c>
      <c r="G154" t="s">
        <v>528</v>
      </c>
      <c r="H154" t="s">
        <v>263</v>
      </c>
      <c r="I154" t="s">
        <v>547</v>
      </c>
      <c r="J154" t="s">
        <v>248</v>
      </c>
      <c r="K154" t="s">
        <v>560</v>
      </c>
      <c r="L154" t="s">
        <v>148</v>
      </c>
      <c r="M154" t="s">
        <v>444</v>
      </c>
      <c r="N154" t="s">
        <v>397</v>
      </c>
      <c r="O154" t="s">
        <v>451</v>
      </c>
      <c r="P154" t="s">
        <v>440</v>
      </c>
      <c r="Q154" t="s">
        <v>441</v>
      </c>
      <c r="R154" t="s">
        <v>619</v>
      </c>
      <c r="S154" t="s">
        <v>404</v>
      </c>
      <c r="T154" t="s">
        <v>516</v>
      </c>
      <c r="U154" t="s">
        <v>338</v>
      </c>
      <c r="V154" t="s">
        <v>315</v>
      </c>
      <c r="W154" t="s">
        <v>409</v>
      </c>
      <c r="X154" t="s">
        <v>477</v>
      </c>
      <c r="Y154" t="s">
        <v>290</v>
      </c>
      <c r="Z154" t="s">
        <v>302</v>
      </c>
      <c r="AA154" t="s">
        <v>434</v>
      </c>
      <c r="AB154" t="s">
        <v>234</v>
      </c>
      <c r="AC154" t="s">
        <v>353</v>
      </c>
      <c r="AD154" t="s">
        <v>394</v>
      </c>
    </row>
    <row r="155" spans="1:30" x14ac:dyDescent="0.35">
      <c r="A155" t="s">
        <v>30</v>
      </c>
      <c r="B155">
        <v>2017</v>
      </c>
      <c r="C155" t="s">
        <v>123</v>
      </c>
      <c r="D155" t="s">
        <v>421</v>
      </c>
      <c r="E155" t="s">
        <v>567</v>
      </c>
      <c r="F155" t="s">
        <v>323</v>
      </c>
      <c r="G155" t="s">
        <v>555</v>
      </c>
      <c r="H155" t="s">
        <v>344</v>
      </c>
      <c r="I155" t="s">
        <v>545</v>
      </c>
      <c r="J155" t="s">
        <v>281</v>
      </c>
      <c r="K155" t="s">
        <v>639</v>
      </c>
      <c r="L155" t="s">
        <v>232</v>
      </c>
      <c r="M155" t="s">
        <v>412</v>
      </c>
      <c r="N155" t="s">
        <v>573</v>
      </c>
      <c r="O155" t="s">
        <v>492</v>
      </c>
      <c r="P155" t="s">
        <v>549</v>
      </c>
      <c r="Q155" t="s">
        <v>630</v>
      </c>
      <c r="R155" t="s">
        <v>603</v>
      </c>
      <c r="S155" t="s">
        <v>539</v>
      </c>
      <c r="T155" t="s">
        <v>626</v>
      </c>
      <c r="U155" t="s">
        <v>48</v>
      </c>
      <c r="V155" t="s">
        <v>527</v>
      </c>
      <c r="W155" t="s">
        <v>436</v>
      </c>
      <c r="X155" t="s">
        <v>457</v>
      </c>
      <c r="Y155" t="s">
        <v>169</v>
      </c>
      <c r="Z155" t="s">
        <v>312</v>
      </c>
      <c r="AA155" t="s">
        <v>598</v>
      </c>
      <c r="AB155" t="s">
        <v>141</v>
      </c>
      <c r="AC155" t="s">
        <v>402</v>
      </c>
      <c r="AD155" t="s">
        <v>472</v>
      </c>
    </row>
    <row r="156" spans="1:30" x14ac:dyDescent="0.35">
      <c r="A156" t="s">
        <v>54</v>
      </c>
      <c r="B156">
        <v>2017</v>
      </c>
      <c r="C156" t="s">
        <v>123</v>
      </c>
      <c r="D156" t="s">
        <v>333</v>
      </c>
      <c r="E156" t="s">
        <v>531</v>
      </c>
      <c r="F156" t="s">
        <v>270</v>
      </c>
      <c r="G156" t="s">
        <v>528</v>
      </c>
      <c r="H156" t="s">
        <v>220</v>
      </c>
      <c r="I156" t="s">
        <v>555</v>
      </c>
      <c r="J156" t="s">
        <v>323</v>
      </c>
      <c r="K156" t="s">
        <v>434</v>
      </c>
      <c r="L156" t="s">
        <v>219</v>
      </c>
      <c r="M156" t="s">
        <v>640</v>
      </c>
      <c r="N156" t="s">
        <v>318</v>
      </c>
      <c r="O156" t="s">
        <v>415</v>
      </c>
      <c r="P156" t="s">
        <v>518</v>
      </c>
      <c r="Q156" t="s">
        <v>635</v>
      </c>
      <c r="R156" t="s">
        <v>309</v>
      </c>
      <c r="S156" t="s">
        <v>336</v>
      </c>
      <c r="T156" t="s">
        <v>573</v>
      </c>
      <c r="U156" t="s">
        <v>435</v>
      </c>
      <c r="V156" t="s">
        <v>280</v>
      </c>
      <c r="W156" t="s">
        <v>393</v>
      </c>
      <c r="X156" t="s">
        <v>322</v>
      </c>
      <c r="Y156" t="s">
        <v>183</v>
      </c>
      <c r="Z156" t="s">
        <v>234</v>
      </c>
      <c r="AA156" t="s">
        <v>490</v>
      </c>
      <c r="AB156" t="s">
        <v>265</v>
      </c>
      <c r="AC156" t="s">
        <v>230</v>
      </c>
      <c r="AD156" t="s">
        <v>315</v>
      </c>
    </row>
    <row r="157" spans="1:30" x14ac:dyDescent="0.35">
      <c r="A157" t="s">
        <v>73</v>
      </c>
      <c r="B157">
        <v>2017</v>
      </c>
      <c r="C157" t="s">
        <v>123</v>
      </c>
      <c r="D157" t="s">
        <v>382</v>
      </c>
      <c r="E157" t="s">
        <v>636</v>
      </c>
      <c r="F157" t="s">
        <v>292</v>
      </c>
      <c r="G157" t="s">
        <v>559</v>
      </c>
      <c r="H157" t="s">
        <v>243</v>
      </c>
      <c r="I157" t="s">
        <v>571</v>
      </c>
      <c r="J157" t="s">
        <v>322</v>
      </c>
      <c r="K157" t="s">
        <v>604</v>
      </c>
      <c r="L157" t="s">
        <v>295</v>
      </c>
      <c r="M157" t="s">
        <v>534</v>
      </c>
      <c r="N157" t="s">
        <v>380</v>
      </c>
      <c r="O157" t="s">
        <v>574</v>
      </c>
      <c r="P157" t="s">
        <v>549</v>
      </c>
      <c r="Q157" t="s">
        <v>254</v>
      </c>
      <c r="R157" t="s">
        <v>572</v>
      </c>
      <c r="S157" t="s">
        <v>338</v>
      </c>
      <c r="T157" t="s">
        <v>526</v>
      </c>
      <c r="U157" t="s">
        <v>435</v>
      </c>
      <c r="V157" t="s">
        <v>342</v>
      </c>
      <c r="W157" t="s">
        <v>375</v>
      </c>
      <c r="X157" t="s">
        <v>391</v>
      </c>
      <c r="Y157" t="s">
        <v>195</v>
      </c>
      <c r="Z157" t="s">
        <v>353</v>
      </c>
      <c r="AA157" t="s">
        <v>500</v>
      </c>
      <c r="AB157" t="s">
        <v>307</v>
      </c>
      <c r="AC157" t="s">
        <v>353</v>
      </c>
      <c r="AD157" t="s">
        <v>338</v>
      </c>
    </row>
    <row r="158" spans="1:30" x14ac:dyDescent="0.35">
      <c r="A158" t="s">
        <v>30</v>
      </c>
      <c r="B158">
        <v>2017</v>
      </c>
      <c r="C158" t="s">
        <v>136</v>
      </c>
      <c r="D158" t="s">
        <v>440</v>
      </c>
      <c r="E158" t="s">
        <v>368</v>
      </c>
      <c r="F158" t="s">
        <v>387</v>
      </c>
      <c r="G158" t="s">
        <v>498</v>
      </c>
      <c r="H158" t="s">
        <v>219</v>
      </c>
      <c r="I158" t="s">
        <v>585</v>
      </c>
      <c r="J158" t="s">
        <v>318</v>
      </c>
      <c r="K158" t="s">
        <v>545</v>
      </c>
      <c r="L158" t="s">
        <v>200</v>
      </c>
      <c r="M158" t="s">
        <v>489</v>
      </c>
      <c r="N158" t="s">
        <v>453</v>
      </c>
      <c r="O158" t="s">
        <v>641</v>
      </c>
      <c r="P158" t="s">
        <v>434</v>
      </c>
      <c r="Q158" t="s">
        <v>492</v>
      </c>
      <c r="R158" t="s">
        <v>642</v>
      </c>
      <c r="S158" t="s">
        <v>619</v>
      </c>
      <c r="T158" t="s">
        <v>545</v>
      </c>
      <c r="U158" t="s">
        <v>48</v>
      </c>
      <c r="V158" t="s">
        <v>527</v>
      </c>
      <c r="W158" t="s">
        <v>588</v>
      </c>
      <c r="X158" t="s">
        <v>396</v>
      </c>
      <c r="Y158" t="s">
        <v>266</v>
      </c>
      <c r="Z158" t="s">
        <v>384</v>
      </c>
      <c r="AA158" t="s">
        <v>528</v>
      </c>
      <c r="AB158" t="s">
        <v>141</v>
      </c>
      <c r="AC158" t="s">
        <v>420</v>
      </c>
      <c r="AD158" t="s">
        <v>432</v>
      </c>
    </row>
    <row r="159" spans="1:30" x14ac:dyDescent="0.35">
      <c r="A159" t="s">
        <v>54</v>
      </c>
      <c r="B159">
        <v>2017</v>
      </c>
      <c r="C159" t="s">
        <v>136</v>
      </c>
      <c r="D159" t="s">
        <v>417</v>
      </c>
      <c r="E159" t="s">
        <v>506</v>
      </c>
      <c r="F159" t="s">
        <v>361</v>
      </c>
      <c r="G159" t="s">
        <v>539</v>
      </c>
      <c r="H159" t="s">
        <v>127</v>
      </c>
      <c r="I159" t="s">
        <v>422</v>
      </c>
      <c r="J159" t="s">
        <v>165</v>
      </c>
      <c r="K159" t="s">
        <v>431</v>
      </c>
      <c r="L159" t="s">
        <v>285</v>
      </c>
      <c r="M159" t="s">
        <v>571</v>
      </c>
      <c r="N159" t="s">
        <v>318</v>
      </c>
      <c r="O159" t="s">
        <v>579</v>
      </c>
      <c r="P159" t="s">
        <v>490</v>
      </c>
      <c r="Q159" t="s">
        <v>643</v>
      </c>
      <c r="R159" t="s">
        <v>431</v>
      </c>
      <c r="S159" t="s">
        <v>351</v>
      </c>
      <c r="T159" t="s">
        <v>524</v>
      </c>
      <c r="U159" t="s">
        <v>313</v>
      </c>
      <c r="V159" t="s">
        <v>152</v>
      </c>
      <c r="W159" t="s">
        <v>388</v>
      </c>
      <c r="X159" t="s">
        <v>374</v>
      </c>
      <c r="Y159" t="s">
        <v>183</v>
      </c>
      <c r="Z159" t="s">
        <v>327</v>
      </c>
      <c r="AA159" t="s">
        <v>434</v>
      </c>
      <c r="AB159" t="s">
        <v>259</v>
      </c>
      <c r="AC159" t="s">
        <v>234</v>
      </c>
      <c r="AD159" t="s">
        <v>304</v>
      </c>
    </row>
    <row r="160" spans="1:30" x14ac:dyDescent="0.35">
      <c r="A160" t="s">
        <v>73</v>
      </c>
      <c r="B160">
        <v>2017</v>
      </c>
      <c r="C160" t="s">
        <v>136</v>
      </c>
      <c r="D160" t="s">
        <v>472</v>
      </c>
      <c r="E160" t="s">
        <v>626</v>
      </c>
      <c r="F160" t="s">
        <v>294</v>
      </c>
      <c r="G160" t="s">
        <v>555</v>
      </c>
      <c r="H160" t="s">
        <v>214</v>
      </c>
      <c r="I160" t="s">
        <v>444</v>
      </c>
      <c r="J160" t="s">
        <v>361</v>
      </c>
      <c r="K160" t="s">
        <v>547</v>
      </c>
      <c r="L160" t="s">
        <v>266</v>
      </c>
      <c r="M160" t="s">
        <v>548</v>
      </c>
      <c r="N160" t="s">
        <v>371</v>
      </c>
      <c r="O160" t="s">
        <v>639</v>
      </c>
      <c r="P160" t="s">
        <v>320</v>
      </c>
      <c r="Q160" t="s">
        <v>644</v>
      </c>
      <c r="R160" t="s">
        <v>498</v>
      </c>
      <c r="S160" t="s">
        <v>396</v>
      </c>
      <c r="T160" t="s">
        <v>559</v>
      </c>
      <c r="U160" t="s">
        <v>313</v>
      </c>
      <c r="V160" t="s">
        <v>384</v>
      </c>
      <c r="W160" t="s">
        <v>394</v>
      </c>
      <c r="X160" t="s">
        <v>400</v>
      </c>
      <c r="Y160" t="s">
        <v>252</v>
      </c>
      <c r="Z160" t="s">
        <v>365</v>
      </c>
      <c r="AA160" t="s">
        <v>542</v>
      </c>
      <c r="AB160" t="s">
        <v>336</v>
      </c>
      <c r="AC160" t="s">
        <v>330</v>
      </c>
      <c r="AD160" t="s">
        <v>396</v>
      </c>
    </row>
    <row r="161" spans="1:30" x14ac:dyDescent="0.35">
      <c r="A161" t="s">
        <v>30</v>
      </c>
      <c r="B161">
        <v>2017</v>
      </c>
      <c r="C161" t="s">
        <v>146</v>
      </c>
      <c r="D161" t="s">
        <v>549</v>
      </c>
      <c r="E161" t="s">
        <v>631</v>
      </c>
      <c r="F161" t="s">
        <v>379</v>
      </c>
      <c r="G161" t="s">
        <v>497</v>
      </c>
      <c r="H161" t="s">
        <v>291</v>
      </c>
      <c r="I161" t="s">
        <v>604</v>
      </c>
      <c r="J161" t="s">
        <v>358</v>
      </c>
      <c r="K161" t="s">
        <v>585</v>
      </c>
      <c r="L161" t="s">
        <v>213</v>
      </c>
      <c r="M161" t="s">
        <v>549</v>
      </c>
      <c r="N161" t="s">
        <v>375</v>
      </c>
      <c r="O161" t="s">
        <v>645</v>
      </c>
      <c r="P161" t="s">
        <v>588</v>
      </c>
      <c r="Q161" t="s">
        <v>641</v>
      </c>
      <c r="R161" t="s">
        <v>615</v>
      </c>
      <c r="S161" t="s">
        <v>555</v>
      </c>
      <c r="T161" t="s">
        <v>623</v>
      </c>
      <c r="U161" t="s">
        <v>48</v>
      </c>
      <c r="V161" t="s">
        <v>542</v>
      </c>
      <c r="W161" t="s">
        <v>422</v>
      </c>
      <c r="X161" t="s">
        <v>406</v>
      </c>
      <c r="Y161" t="s">
        <v>266</v>
      </c>
      <c r="Z161" t="s">
        <v>342</v>
      </c>
      <c r="AA161" t="s">
        <v>564</v>
      </c>
      <c r="AB161" t="s">
        <v>264</v>
      </c>
      <c r="AC161" t="s">
        <v>391</v>
      </c>
      <c r="AD161" t="s">
        <v>517</v>
      </c>
    </row>
    <row r="162" spans="1:30" x14ac:dyDescent="0.35">
      <c r="A162" t="s">
        <v>54</v>
      </c>
      <c r="B162">
        <v>2017</v>
      </c>
      <c r="C162" t="s">
        <v>146</v>
      </c>
      <c r="D162" t="s">
        <v>472</v>
      </c>
      <c r="E162" t="s">
        <v>646</v>
      </c>
      <c r="F162" t="s">
        <v>312</v>
      </c>
      <c r="G162" t="s">
        <v>619</v>
      </c>
      <c r="H162" t="s">
        <v>220</v>
      </c>
      <c r="I162" t="s">
        <v>559</v>
      </c>
      <c r="J162" t="s">
        <v>553</v>
      </c>
      <c r="K162" t="s">
        <v>385</v>
      </c>
      <c r="L162" t="s">
        <v>291</v>
      </c>
      <c r="M162" t="s">
        <v>583</v>
      </c>
      <c r="N162" t="s">
        <v>345</v>
      </c>
      <c r="O162" t="s">
        <v>615</v>
      </c>
      <c r="P162" t="s">
        <v>598</v>
      </c>
      <c r="Q162" t="s">
        <v>647</v>
      </c>
      <c r="R162" t="s">
        <v>431</v>
      </c>
      <c r="S162" t="s">
        <v>351</v>
      </c>
      <c r="T162" t="s">
        <v>524</v>
      </c>
      <c r="U162" t="s">
        <v>396</v>
      </c>
      <c r="V162" t="s">
        <v>262</v>
      </c>
      <c r="W162" t="s">
        <v>387</v>
      </c>
      <c r="X162" t="s">
        <v>318</v>
      </c>
      <c r="Y162" t="s">
        <v>113</v>
      </c>
      <c r="Z162" t="s">
        <v>237</v>
      </c>
      <c r="AA162" t="s">
        <v>436</v>
      </c>
      <c r="AB162" t="s">
        <v>230</v>
      </c>
      <c r="AC162" t="s">
        <v>296</v>
      </c>
      <c r="AD162" t="s">
        <v>260</v>
      </c>
    </row>
    <row r="163" spans="1:30" x14ac:dyDescent="0.35">
      <c r="A163" t="s">
        <v>73</v>
      </c>
      <c r="B163">
        <v>2017</v>
      </c>
      <c r="C163" t="s">
        <v>146</v>
      </c>
      <c r="D163" t="s">
        <v>432</v>
      </c>
      <c r="E163" t="s">
        <v>492</v>
      </c>
      <c r="F163" t="s">
        <v>391</v>
      </c>
      <c r="G163" t="s">
        <v>535</v>
      </c>
      <c r="H163" t="s">
        <v>289</v>
      </c>
      <c r="I163" t="s">
        <v>558</v>
      </c>
      <c r="J163" t="s">
        <v>432</v>
      </c>
      <c r="K163" t="s">
        <v>613</v>
      </c>
      <c r="L163" t="s">
        <v>191</v>
      </c>
      <c r="M163" t="s">
        <v>473</v>
      </c>
      <c r="N163" t="s">
        <v>477</v>
      </c>
      <c r="O163" t="s">
        <v>625</v>
      </c>
      <c r="P163" t="s">
        <v>422</v>
      </c>
      <c r="Q163" t="s">
        <v>645</v>
      </c>
      <c r="R163" t="s">
        <v>568</v>
      </c>
      <c r="S163" t="s">
        <v>435</v>
      </c>
      <c r="T163" t="s">
        <v>310</v>
      </c>
      <c r="U163" t="s">
        <v>396</v>
      </c>
      <c r="V163" t="s">
        <v>358</v>
      </c>
      <c r="W163" t="s">
        <v>309</v>
      </c>
      <c r="X163" t="s">
        <v>249</v>
      </c>
      <c r="Y163" t="s">
        <v>241</v>
      </c>
      <c r="Z163" t="s">
        <v>308</v>
      </c>
      <c r="AA163" t="s">
        <v>530</v>
      </c>
      <c r="AB163" t="s">
        <v>322</v>
      </c>
      <c r="AC163" t="s">
        <v>287</v>
      </c>
      <c r="AD163" t="s">
        <v>465</v>
      </c>
    </row>
    <row r="164" spans="1:30" x14ac:dyDescent="0.35">
      <c r="A164" t="s">
        <v>30</v>
      </c>
      <c r="B164">
        <v>2017</v>
      </c>
      <c r="C164" t="s">
        <v>163</v>
      </c>
      <c r="D164" t="s">
        <v>489</v>
      </c>
      <c r="E164" t="s">
        <v>574</v>
      </c>
      <c r="F164" t="s">
        <v>342</v>
      </c>
      <c r="G164" t="s">
        <v>638</v>
      </c>
      <c r="H164" t="s">
        <v>291</v>
      </c>
      <c r="I164" t="s">
        <v>560</v>
      </c>
      <c r="J164" t="s">
        <v>648</v>
      </c>
      <c r="K164" t="s">
        <v>535</v>
      </c>
      <c r="L164" t="s">
        <v>298</v>
      </c>
      <c r="M164" t="s">
        <v>517</v>
      </c>
      <c r="N164" t="s">
        <v>396</v>
      </c>
      <c r="O164" t="s">
        <v>649</v>
      </c>
      <c r="P164" t="s">
        <v>568</v>
      </c>
      <c r="Q164" t="s">
        <v>650</v>
      </c>
      <c r="R164" t="s">
        <v>609</v>
      </c>
      <c r="S164" t="s">
        <v>535</v>
      </c>
      <c r="T164" t="s">
        <v>651</v>
      </c>
      <c r="U164" t="s">
        <v>48</v>
      </c>
      <c r="V164" t="s">
        <v>473</v>
      </c>
      <c r="W164" t="s">
        <v>599</v>
      </c>
      <c r="X164" t="s">
        <v>313</v>
      </c>
      <c r="Y164" t="s">
        <v>201</v>
      </c>
      <c r="Z164" t="s">
        <v>404</v>
      </c>
      <c r="AA164" t="s">
        <v>497</v>
      </c>
      <c r="AB164" t="s">
        <v>337</v>
      </c>
      <c r="AC164" t="s">
        <v>367</v>
      </c>
      <c r="AD164" t="s">
        <v>613</v>
      </c>
    </row>
    <row r="165" spans="1:30" x14ac:dyDescent="0.35">
      <c r="A165" t="s">
        <v>54</v>
      </c>
      <c r="B165">
        <v>2017</v>
      </c>
      <c r="C165" t="s">
        <v>163</v>
      </c>
      <c r="D165" t="s">
        <v>427</v>
      </c>
      <c r="E165" t="s">
        <v>652</v>
      </c>
      <c r="F165" t="s">
        <v>384</v>
      </c>
      <c r="G165" t="s">
        <v>555</v>
      </c>
      <c r="H165" t="s">
        <v>127</v>
      </c>
      <c r="I165" t="s">
        <v>636</v>
      </c>
      <c r="J165" t="s">
        <v>653</v>
      </c>
      <c r="K165" t="s">
        <v>325</v>
      </c>
      <c r="L165" t="s">
        <v>281</v>
      </c>
      <c r="M165" t="s">
        <v>581</v>
      </c>
      <c r="N165" t="s">
        <v>337</v>
      </c>
      <c r="O165" t="s">
        <v>631</v>
      </c>
      <c r="P165" t="s">
        <v>578</v>
      </c>
      <c r="Q165" t="s">
        <v>654</v>
      </c>
      <c r="R165" t="s">
        <v>491</v>
      </c>
      <c r="S165" t="s">
        <v>141</v>
      </c>
      <c r="T165" t="s">
        <v>375</v>
      </c>
      <c r="U165" t="s">
        <v>417</v>
      </c>
      <c r="V165" t="s">
        <v>306</v>
      </c>
      <c r="W165" t="s">
        <v>397</v>
      </c>
      <c r="X165" t="s">
        <v>302</v>
      </c>
      <c r="Y165" t="s">
        <v>115</v>
      </c>
      <c r="Z165" t="s">
        <v>253</v>
      </c>
      <c r="AA165" t="s">
        <v>537</v>
      </c>
      <c r="AB165" t="s">
        <v>311</v>
      </c>
      <c r="AC165" t="s">
        <v>336</v>
      </c>
      <c r="AD165" t="s">
        <v>389</v>
      </c>
    </row>
    <row r="166" spans="1:30" x14ac:dyDescent="0.35">
      <c r="A166" t="s">
        <v>73</v>
      </c>
      <c r="B166">
        <v>2017</v>
      </c>
      <c r="C166" t="s">
        <v>163</v>
      </c>
      <c r="D166" t="s">
        <v>490</v>
      </c>
      <c r="E166" t="s">
        <v>245</v>
      </c>
      <c r="F166" t="s">
        <v>504</v>
      </c>
      <c r="G166" t="s">
        <v>568</v>
      </c>
      <c r="H166" t="s">
        <v>214</v>
      </c>
      <c r="I166" t="s">
        <v>545</v>
      </c>
      <c r="J166" t="s">
        <v>628</v>
      </c>
      <c r="K166" t="s">
        <v>490</v>
      </c>
      <c r="L166" t="s">
        <v>248</v>
      </c>
      <c r="M166" t="s">
        <v>422</v>
      </c>
      <c r="N166" t="s">
        <v>249</v>
      </c>
      <c r="O166" t="s">
        <v>641</v>
      </c>
      <c r="P166" t="s">
        <v>638</v>
      </c>
      <c r="Q166" t="s">
        <v>655</v>
      </c>
      <c r="R166" t="s">
        <v>538</v>
      </c>
      <c r="S166" t="s">
        <v>313</v>
      </c>
      <c r="T166" t="s">
        <v>547</v>
      </c>
      <c r="U166" t="s">
        <v>417</v>
      </c>
      <c r="V166" t="s">
        <v>384</v>
      </c>
      <c r="W166" t="s">
        <v>423</v>
      </c>
      <c r="X166" t="s">
        <v>384</v>
      </c>
      <c r="Y166" t="s">
        <v>218</v>
      </c>
      <c r="Z166" t="s">
        <v>340</v>
      </c>
      <c r="AA166" t="s">
        <v>539</v>
      </c>
      <c r="AB166" t="s">
        <v>374</v>
      </c>
      <c r="AC166" t="s">
        <v>308</v>
      </c>
      <c r="AD166" t="s">
        <v>401</v>
      </c>
    </row>
    <row r="167" spans="1:30" x14ac:dyDescent="0.35">
      <c r="A167" t="s">
        <v>30</v>
      </c>
      <c r="B167">
        <v>2017</v>
      </c>
      <c r="C167" t="s">
        <v>182</v>
      </c>
      <c r="D167" t="s">
        <v>542</v>
      </c>
      <c r="E167" t="s">
        <v>615</v>
      </c>
      <c r="F167" t="s">
        <v>573</v>
      </c>
      <c r="G167" t="s">
        <v>636</v>
      </c>
      <c r="H167" t="s">
        <v>248</v>
      </c>
      <c r="I167" t="s">
        <v>635</v>
      </c>
      <c r="J167" t="s">
        <v>656</v>
      </c>
      <c r="K167" t="s">
        <v>429</v>
      </c>
      <c r="L167" t="s">
        <v>219</v>
      </c>
      <c r="M167" t="s">
        <v>461</v>
      </c>
      <c r="N167" t="s">
        <v>491</v>
      </c>
      <c r="O167" t="s">
        <v>646</v>
      </c>
      <c r="P167" t="s">
        <v>531</v>
      </c>
      <c r="Q167" t="s">
        <v>494</v>
      </c>
      <c r="R167" t="s">
        <v>608</v>
      </c>
      <c r="S167" t="s">
        <v>558</v>
      </c>
      <c r="T167" t="s">
        <v>639</v>
      </c>
      <c r="U167" t="s">
        <v>48</v>
      </c>
      <c r="V167" t="s">
        <v>516</v>
      </c>
      <c r="W167" t="s">
        <v>619</v>
      </c>
      <c r="X167" t="s">
        <v>382</v>
      </c>
      <c r="Y167" t="s">
        <v>293</v>
      </c>
      <c r="Z167" t="s">
        <v>431</v>
      </c>
      <c r="AA167" t="s">
        <v>585</v>
      </c>
      <c r="AB167" t="s">
        <v>346</v>
      </c>
      <c r="AC167" t="s">
        <v>328</v>
      </c>
      <c r="AD167" t="s">
        <v>581</v>
      </c>
    </row>
    <row r="168" spans="1:30" x14ac:dyDescent="0.35">
      <c r="A168" t="s">
        <v>54</v>
      </c>
      <c r="B168">
        <v>2017</v>
      </c>
      <c r="C168" t="s">
        <v>182</v>
      </c>
      <c r="D168" t="s">
        <v>421</v>
      </c>
      <c r="E168" t="s">
        <v>560</v>
      </c>
      <c r="F168" t="s">
        <v>312</v>
      </c>
      <c r="G168" t="s">
        <v>547</v>
      </c>
      <c r="H168" t="s">
        <v>238</v>
      </c>
      <c r="I168" t="s">
        <v>565</v>
      </c>
      <c r="J168" t="s">
        <v>657</v>
      </c>
      <c r="K168" t="s">
        <v>253</v>
      </c>
      <c r="L168" t="s">
        <v>279</v>
      </c>
      <c r="M168" t="s">
        <v>310</v>
      </c>
      <c r="N168" t="s">
        <v>354</v>
      </c>
      <c r="O168" t="s">
        <v>639</v>
      </c>
      <c r="P168" t="s">
        <v>372</v>
      </c>
      <c r="Q168" t="s">
        <v>658</v>
      </c>
      <c r="R168" t="s">
        <v>333</v>
      </c>
      <c r="S168" t="s">
        <v>349</v>
      </c>
      <c r="T168" t="s">
        <v>396</v>
      </c>
      <c r="U168" t="s">
        <v>377</v>
      </c>
      <c r="V168" t="s">
        <v>213</v>
      </c>
      <c r="W168" t="s">
        <v>301</v>
      </c>
      <c r="X168" t="s">
        <v>365</v>
      </c>
      <c r="Y168" t="s">
        <v>126</v>
      </c>
      <c r="Z168" t="s">
        <v>264</v>
      </c>
      <c r="AA168" t="s">
        <v>598</v>
      </c>
      <c r="AB168" t="s">
        <v>317</v>
      </c>
      <c r="AC168" t="s">
        <v>318</v>
      </c>
      <c r="AD168" t="s">
        <v>333</v>
      </c>
    </row>
    <row r="169" spans="1:30" x14ac:dyDescent="0.35">
      <c r="A169" t="s">
        <v>73</v>
      </c>
      <c r="B169">
        <v>2017</v>
      </c>
      <c r="C169" t="s">
        <v>182</v>
      </c>
      <c r="D169" t="s">
        <v>436</v>
      </c>
      <c r="E169" t="s">
        <v>659</v>
      </c>
      <c r="F169" t="s">
        <v>304</v>
      </c>
      <c r="G169" t="s">
        <v>638</v>
      </c>
      <c r="H169" t="s">
        <v>214</v>
      </c>
      <c r="I169" t="s">
        <v>492</v>
      </c>
      <c r="J169" t="s">
        <v>347</v>
      </c>
      <c r="K169" t="s">
        <v>333</v>
      </c>
      <c r="L169" t="s">
        <v>258</v>
      </c>
      <c r="M169" t="s">
        <v>414</v>
      </c>
      <c r="N169" t="s">
        <v>403</v>
      </c>
      <c r="O169" t="s">
        <v>660</v>
      </c>
      <c r="P169" t="s">
        <v>531</v>
      </c>
      <c r="Q169" t="s">
        <v>661</v>
      </c>
      <c r="R169" t="s">
        <v>368</v>
      </c>
      <c r="S169" t="s">
        <v>382</v>
      </c>
      <c r="T169" t="s">
        <v>538</v>
      </c>
      <c r="U169" t="s">
        <v>377</v>
      </c>
      <c r="V169" t="s">
        <v>342</v>
      </c>
      <c r="W169" t="s">
        <v>427</v>
      </c>
      <c r="X169" t="s">
        <v>524</v>
      </c>
      <c r="Y169" t="s">
        <v>226</v>
      </c>
      <c r="Z169" t="s">
        <v>332</v>
      </c>
      <c r="AA169" t="s">
        <v>486</v>
      </c>
      <c r="AB169" t="s">
        <v>270</v>
      </c>
      <c r="AC169" t="s">
        <v>387</v>
      </c>
      <c r="AD169" t="s">
        <v>530</v>
      </c>
    </row>
    <row r="170" spans="1:30" x14ac:dyDescent="0.35">
      <c r="A170" t="s">
        <v>30</v>
      </c>
      <c r="B170">
        <v>2017</v>
      </c>
      <c r="C170" t="s">
        <v>197</v>
      </c>
      <c r="D170" t="s">
        <v>422</v>
      </c>
      <c r="E170" t="s">
        <v>616</v>
      </c>
      <c r="F170" t="s">
        <v>418</v>
      </c>
      <c r="G170" t="s">
        <v>585</v>
      </c>
      <c r="H170" t="s">
        <v>275</v>
      </c>
      <c r="I170" t="s">
        <v>662</v>
      </c>
      <c r="J170" t="s">
        <v>663</v>
      </c>
      <c r="K170" t="s">
        <v>485</v>
      </c>
      <c r="L170" t="s">
        <v>285</v>
      </c>
      <c r="M170" t="s">
        <v>461</v>
      </c>
      <c r="N170" t="s">
        <v>435</v>
      </c>
      <c r="O170" t="s">
        <v>664</v>
      </c>
      <c r="P170" t="s">
        <v>605</v>
      </c>
      <c r="Q170" t="s">
        <v>661</v>
      </c>
      <c r="R170" t="s">
        <v>665</v>
      </c>
      <c r="S170" t="s">
        <v>521</v>
      </c>
      <c r="T170" t="s">
        <v>666</v>
      </c>
      <c r="U170" t="s">
        <v>48</v>
      </c>
      <c r="V170" t="s">
        <v>429</v>
      </c>
      <c r="W170" t="s">
        <v>444</v>
      </c>
      <c r="X170" t="s">
        <v>518</v>
      </c>
      <c r="Y170" t="s">
        <v>258</v>
      </c>
      <c r="Z170" t="s">
        <v>376</v>
      </c>
      <c r="AA170" t="s">
        <v>605</v>
      </c>
      <c r="AB170" t="s">
        <v>162</v>
      </c>
      <c r="AC170" t="s">
        <v>453</v>
      </c>
      <c r="AD170" t="s">
        <v>486</v>
      </c>
    </row>
    <row r="171" spans="1:30" x14ac:dyDescent="0.35">
      <c r="A171" t="s">
        <v>54</v>
      </c>
      <c r="B171">
        <v>2017</v>
      </c>
      <c r="C171" t="s">
        <v>197</v>
      </c>
      <c r="D171" t="s">
        <v>490</v>
      </c>
      <c r="E171" t="s">
        <v>667</v>
      </c>
      <c r="F171" t="s">
        <v>328</v>
      </c>
      <c r="G171" t="s">
        <v>567</v>
      </c>
      <c r="H171" t="s">
        <v>215</v>
      </c>
      <c r="I171" t="s">
        <v>310</v>
      </c>
      <c r="J171" t="s">
        <v>668</v>
      </c>
      <c r="K171" t="s">
        <v>270</v>
      </c>
      <c r="L171" t="s">
        <v>311</v>
      </c>
      <c r="M171" t="s">
        <v>619</v>
      </c>
      <c r="N171" t="s">
        <v>331</v>
      </c>
      <c r="O171" t="s">
        <v>621</v>
      </c>
      <c r="P171" t="s">
        <v>572</v>
      </c>
      <c r="Q171" t="s">
        <v>443</v>
      </c>
      <c r="R171" t="s">
        <v>432</v>
      </c>
      <c r="S171" t="s">
        <v>354</v>
      </c>
      <c r="T171" t="s">
        <v>465</v>
      </c>
      <c r="U171" t="s">
        <v>598</v>
      </c>
      <c r="V171" t="s">
        <v>314</v>
      </c>
      <c r="W171" t="s">
        <v>391</v>
      </c>
      <c r="X171" t="s">
        <v>292</v>
      </c>
      <c r="Y171" t="s">
        <v>198</v>
      </c>
      <c r="Z171" t="s">
        <v>270</v>
      </c>
      <c r="AA171" t="s">
        <v>505</v>
      </c>
      <c r="AB171" t="s">
        <v>337</v>
      </c>
      <c r="AC171" t="s">
        <v>270</v>
      </c>
      <c r="AD171" t="s">
        <v>481</v>
      </c>
    </row>
    <row r="172" spans="1:30" x14ac:dyDescent="0.35">
      <c r="A172" t="s">
        <v>73</v>
      </c>
      <c r="B172">
        <v>2017</v>
      </c>
      <c r="C172" t="s">
        <v>197</v>
      </c>
      <c r="D172" t="s">
        <v>461</v>
      </c>
      <c r="E172" t="s">
        <v>603</v>
      </c>
      <c r="F172" t="s">
        <v>524</v>
      </c>
      <c r="G172" t="s">
        <v>605</v>
      </c>
      <c r="H172" t="s">
        <v>243</v>
      </c>
      <c r="I172" t="s">
        <v>667</v>
      </c>
      <c r="J172" t="s">
        <v>669</v>
      </c>
      <c r="K172" t="s">
        <v>472</v>
      </c>
      <c r="L172" t="s">
        <v>281</v>
      </c>
      <c r="M172" t="s">
        <v>414</v>
      </c>
      <c r="N172" t="s">
        <v>358</v>
      </c>
      <c r="O172" t="s">
        <v>670</v>
      </c>
      <c r="P172" t="s">
        <v>638</v>
      </c>
      <c r="Q172" t="s">
        <v>671</v>
      </c>
      <c r="R172" t="s">
        <v>612</v>
      </c>
      <c r="S172" t="s">
        <v>518</v>
      </c>
      <c r="T172" t="s">
        <v>179</v>
      </c>
      <c r="U172" t="s">
        <v>598</v>
      </c>
      <c r="V172" t="s">
        <v>457</v>
      </c>
      <c r="W172" t="s">
        <v>432</v>
      </c>
      <c r="X172" t="s">
        <v>404</v>
      </c>
      <c r="Y172" t="s">
        <v>186</v>
      </c>
      <c r="Z172" t="s">
        <v>420</v>
      </c>
      <c r="AA172" t="s">
        <v>429</v>
      </c>
      <c r="AB172" t="s">
        <v>365</v>
      </c>
      <c r="AC172" t="s">
        <v>402</v>
      </c>
      <c r="AD172" t="s">
        <v>422</v>
      </c>
    </row>
    <row r="173" spans="1:30" x14ac:dyDescent="0.35">
      <c r="A173" t="s">
        <v>30</v>
      </c>
      <c r="B173">
        <v>2017</v>
      </c>
      <c r="C173" t="s">
        <v>207</v>
      </c>
      <c r="D173" t="s">
        <v>505</v>
      </c>
      <c r="E173" t="s">
        <v>618</v>
      </c>
      <c r="F173" t="s">
        <v>457</v>
      </c>
      <c r="G173" t="s">
        <v>510</v>
      </c>
      <c r="H173" t="s">
        <v>280</v>
      </c>
      <c r="I173" t="s">
        <v>424</v>
      </c>
      <c r="J173" t="s">
        <v>672</v>
      </c>
      <c r="K173" t="s">
        <v>516</v>
      </c>
      <c r="L173" t="s">
        <v>280</v>
      </c>
      <c r="M173" t="s">
        <v>414</v>
      </c>
      <c r="N173" t="s">
        <v>406</v>
      </c>
      <c r="O173" t="s">
        <v>673</v>
      </c>
      <c r="P173" t="s">
        <v>541</v>
      </c>
      <c r="Q173" t="s">
        <v>654</v>
      </c>
      <c r="R173" t="s">
        <v>674</v>
      </c>
      <c r="S173" t="s">
        <v>531</v>
      </c>
      <c r="T173" t="s">
        <v>644</v>
      </c>
      <c r="U173" t="s">
        <v>48</v>
      </c>
      <c r="V173" t="s">
        <v>535</v>
      </c>
      <c r="W173" t="s">
        <v>584</v>
      </c>
      <c r="X173" t="s">
        <v>401</v>
      </c>
      <c r="Y173" t="s">
        <v>285</v>
      </c>
      <c r="Z173" t="s">
        <v>382</v>
      </c>
      <c r="AA173" t="s">
        <v>501</v>
      </c>
      <c r="AB173" t="s">
        <v>380</v>
      </c>
      <c r="AC173" t="s">
        <v>513</v>
      </c>
      <c r="AD173" t="s">
        <v>547</v>
      </c>
    </row>
    <row r="174" spans="1:30" x14ac:dyDescent="0.35">
      <c r="A174" t="s">
        <v>54</v>
      </c>
      <c r="B174">
        <v>2017</v>
      </c>
      <c r="C174" t="s">
        <v>207</v>
      </c>
      <c r="D174" t="s">
        <v>517</v>
      </c>
      <c r="E174" t="s">
        <v>563</v>
      </c>
      <c r="F174" t="s">
        <v>396</v>
      </c>
      <c r="G174" t="s">
        <v>428</v>
      </c>
      <c r="H174" t="s">
        <v>160</v>
      </c>
      <c r="I174" t="s">
        <v>414</v>
      </c>
      <c r="J174" t="s">
        <v>675</v>
      </c>
      <c r="K174" t="s">
        <v>264</v>
      </c>
      <c r="L174" t="s">
        <v>234</v>
      </c>
      <c r="M174" t="s">
        <v>581</v>
      </c>
      <c r="N174" t="s">
        <v>353</v>
      </c>
      <c r="O174" t="s">
        <v>492</v>
      </c>
      <c r="P174" t="s">
        <v>521</v>
      </c>
      <c r="Q174" t="s">
        <v>676</v>
      </c>
      <c r="R174" t="s">
        <v>489</v>
      </c>
      <c r="S174" t="s">
        <v>360</v>
      </c>
      <c r="T174" t="s">
        <v>417</v>
      </c>
      <c r="U174" t="s">
        <v>619</v>
      </c>
      <c r="V174" t="s">
        <v>234</v>
      </c>
      <c r="W174" t="s">
        <v>312</v>
      </c>
      <c r="X174" t="s">
        <v>340</v>
      </c>
      <c r="Y174" t="s">
        <v>158</v>
      </c>
      <c r="Z174" t="s">
        <v>331</v>
      </c>
      <c r="AA174" t="s">
        <v>528</v>
      </c>
      <c r="AB174" t="s">
        <v>354</v>
      </c>
      <c r="AC174" t="s">
        <v>270</v>
      </c>
      <c r="AD174" t="s">
        <v>549</v>
      </c>
    </row>
    <row r="175" spans="1:30" x14ac:dyDescent="0.35">
      <c r="A175" t="s">
        <v>73</v>
      </c>
      <c r="B175">
        <v>2017</v>
      </c>
      <c r="C175" t="s">
        <v>207</v>
      </c>
      <c r="D175" t="s">
        <v>473</v>
      </c>
      <c r="E175" t="s">
        <v>553</v>
      </c>
      <c r="F175" t="s">
        <v>309</v>
      </c>
      <c r="G175" t="s">
        <v>531</v>
      </c>
      <c r="H175" t="s">
        <v>262</v>
      </c>
      <c r="I175" t="s">
        <v>510</v>
      </c>
      <c r="J175" t="s">
        <v>677</v>
      </c>
      <c r="K175" t="s">
        <v>376</v>
      </c>
      <c r="L175" t="s">
        <v>326</v>
      </c>
      <c r="M175" t="s">
        <v>528</v>
      </c>
      <c r="N175" t="s">
        <v>403</v>
      </c>
      <c r="O175" t="s">
        <v>425</v>
      </c>
      <c r="P175" t="s">
        <v>501</v>
      </c>
      <c r="Q175" t="s">
        <v>678</v>
      </c>
      <c r="R175" t="s">
        <v>616</v>
      </c>
      <c r="S175" t="s">
        <v>412</v>
      </c>
      <c r="T175" t="s">
        <v>433</v>
      </c>
      <c r="U175" t="s">
        <v>619</v>
      </c>
      <c r="V175" t="s">
        <v>482</v>
      </c>
      <c r="W175" t="s">
        <v>490</v>
      </c>
      <c r="X175" t="s">
        <v>406</v>
      </c>
      <c r="Y175" t="s">
        <v>168</v>
      </c>
      <c r="Z175" t="s">
        <v>400</v>
      </c>
      <c r="AA175" t="s">
        <v>444</v>
      </c>
      <c r="AB175" t="s">
        <v>381</v>
      </c>
      <c r="AC175" t="s">
        <v>301</v>
      </c>
      <c r="AD175" t="s">
        <v>599</v>
      </c>
    </row>
    <row r="176" spans="1:30" x14ac:dyDescent="0.35">
      <c r="A176" t="s">
        <v>30</v>
      </c>
      <c r="B176">
        <v>2017</v>
      </c>
      <c r="C176" t="s">
        <v>233</v>
      </c>
      <c r="D176" t="s">
        <v>528</v>
      </c>
      <c r="E176" t="s">
        <v>642</v>
      </c>
      <c r="F176" t="s">
        <v>372</v>
      </c>
      <c r="G176" t="s">
        <v>510</v>
      </c>
      <c r="H176" t="s">
        <v>300</v>
      </c>
      <c r="I176" t="s">
        <v>670</v>
      </c>
      <c r="J176" t="s">
        <v>679</v>
      </c>
      <c r="K176" t="s">
        <v>471</v>
      </c>
      <c r="L176" t="s">
        <v>230</v>
      </c>
      <c r="M176" t="s">
        <v>548</v>
      </c>
      <c r="N176" t="s">
        <v>423</v>
      </c>
      <c r="O176" t="s">
        <v>550</v>
      </c>
      <c r="P176" t="s">
        <v>603</v>
      </c>
      <c r="Q176" t="s">
        <v>658</v>
      </c>
      <c r="R176" t="s">
        <v>655</v>
      </c>
      <c r="S176" t="s">
        <v>510</v>
      </c>
      <c r="T176" t="s">
        <v>670</v>
      </c>
      <c r="U176" t="s">
        <v>48</v>
      </c>
      <c r="V176" t="s">
        <v>612</v>
      </c>
      <c r="W176" t="s">
        <v>636</v>
      </c>
      <c r="X176" t="s">
        <v>471</v>
      </c>
      <c r="Y176" t="s">
        <v>300</v>
      </c>
      <c r="Z176" t="s">
        <v>320</v>
      </c>
      <c r="AA176" t="s">
        <v>510</v>
      </c>
      <c r="AB176" t="s">
        <v>391</v>
      </c>
      <c r="AC176" t="s">
        <v>435</v>
      </c>
      <c r="AD176" t="s">
        <v>179</v>
      </c>
    </row>
    <row r="177" spans="1:30" x14ac:dyDescent="0.35">
      <c r="A177" t="s">
        <v>54</v>
      </c>
      <c r="B177">
        <v>2017</v>
      </c>
      <c r="C177" t="s">
        <v>233</v>
      </c>
      <c r="D177" t="s">
        <v>436</v>
      </c>
      <c r="E177" t="s">
        <v>455</v>
      </c>
      <c r="F177" t="s">
        <v>424</v>
      </c>
      <c r="G177" t="s">
        <v>509</v>
      </c>
      <c r="H177" t="s">
        <v>255</v>
      </c>
      <c r="I177" t="s">
        <v>516</v>
      </c>
      <c r="J177" t="s">
        <v>680</v>
      </c>
      <c r="K177" t="s">
        <v>265</v>
      </c>
      <c r="L177" t="s">
        <v>257</v>
      </c>
      <c r="M177" t="s">
        <v>547</v>
      </c>
      <c r="N177" t="s">
        <v>346</v>
      </c>
      <c r="O177" t="s">
        <v>681</v>
      </c>
      <c r="P177" t="s">
        <v>510</v>
      </c>
      <c r="Q177" t="s">
        <v>682</v>
      </c>
      <c r="R177" t="s">
        <v>527</v>
      </c>
      <c r="S177" t="s">
        <v>346</v>
      </c>
      <c r="T177" t="s">
        <v>549</v>
      </c>
      <c r="U177" t="s">
        <v>497</v>
      </c>
      <c r="V177" t="s">
        <v>365</v>
      </c>
      <c r="W177" t="s">
        <v>358</v>
      </c>
      <c r="X177" t="s">
        <v>380</v>
      </c>
      <c r="Y177" t="s">
        <v>268</v>
      </c>
      <c r="Z177" t="s">
        <v>353</v>
      </c>
      <c r="AA177" t="s">
        <v>575</v>
      </c>
      <c r="AB177" t="s">
        <v>360</v>
      </c>
      <c r="AC177" t="s">
        <v>360</v>
      </c>
      <c r="AD177" t="s">
        <v>542</v>
      </c>
    </row>
    <row r="178" spans="1:30" x14ac:dyDescent="0.35">
      <c r="A178" t="s">
        <v>73</v>
      </c>
      <c r="B178">
        <v>2017</v>
      </c>
      <c r="C178" t="s">
        <v>233</v>
      </c>
      <c r="D178" t="s">
        <v>598</v>
      </c>
      <c r="E178" t="s">
        <v>603</v>
      </c>
      <c r="F178" t="s">
        <v>579</v>
      </c>
      <c r="G178" t="s">
        <v>433</v>
      </c>
      <c r="H178" t="s">
        <v>169</v>
      </c>
      <c r="I178" t="s">
        <v>553</v>
      </c>
      <c r="J178" t="s">
        <v>683</v>
      </c>
      <c r="K178" t="s">
        <v>309</v>
      </c>
      <c r="L178" t="s">
        <v>336</v>
      </c>
      <c r="M178" t="s">
        <v>539</v>
      </c>
      <c r="N178" t="s">
        <v>165</v>
      </c>
      <c r="O178" t="s">
        <v>684</v>
      </c>
      <c r="P178" t="s">
        <v>455</v>
      </c>
      <c r="Q178" t="s">
        <v>362</v>
      </c>
      <c r="R178" t="s">
        <v>667</v>
      </c>
      <c r="S178" t="s">
        <v>542</v>
      </c>
      <c r="T178" t="s">
        <v>545</v>
      </c>
      <c r="U178" t="s">
        <v>497</v>
      </c>
      <c r="V178" t="s">
        <v>473</v>
      </c>
      <c r="W178" t="s">
        <v>377</v>
      </c>
      <c r="X178" t="s">
        <v>417</v>
      </c>
      <c r="Y178" t="s">
        <v>186</v>
      </c>
      <c r="Z178" t="s">
        <v>335</v>
      </c>
      <c r="AA178" t="s">
        <v>497</v>
      </c>
      <c r="AB178" t="s">
        <v>387</v>
      </c>
      <c r="AC178" t="s">
        <v>400</v>
      </c>
      <c r="AD178" t="s">
        <v>486</v>
      </c>
    </row>
    <row r="179" spans="1:30" x14ac:dyDescent="0.35">
      <c r="A179" t="s">
        <v>30</v>
      </c>
      <c r="B179">
        <v>2017</v>
      </c>
      <c r="C179" t="s">
        <v>242</v>
      </c>
      <c r="D179" t="s">
        <v>516</v>
      </c>
      <c r="E179" t="s">
        <v>631</v>
      </c>
      <c r="F179" t="s">
        <v>250</v>
      </c>
      <c r="G179" t="s">
        <v>618</v>
      </c>
      <c r="H179" t="s">
        <v>307</v>
      </c>
      <c r="I179" t="s">
        <v>674</v>
      </c>
      <c r="J179" t="s">
        <v>685</v>
      </c>
      <c r="K179" t="s">
        <v>434</v>
      </c>
      <c r="L179" t="s">
        <v>269</v>
      </c>
      <c r="M179" t="s">
        <v>471</v>
      </c>
      <c r="N179" t="s">
        <v>338</v>
      </c>
      <c r="O179" t="s">
        <v>550</v>
      </c>
      <c r="P179" t="s">
        <v>510</v>
      </c>
      <c r="Q179" t="s">
        <v>362</v>
      </c>
      <c r="R179" t="s">
        <v>635</v>
      </c>
      <c r="S179" t="s">
        <v>618</v>
      </c>
      <c r="T179" t="s">
        <v>674</v>
      </c>
      <c r="U179" t="s">
        <v>48</v>
      </c>
      <c r="V179" t="s">
        <v>415</v>
      </c>
      <c r="W179" t="s">
        <v>509</v>
      </c>
      <c r="X179" t="s">
        <v>599</v>
      </c>
      <c r="Y179" t="s">
        <v>259</v>
      </c>
      <c r="Z179" t="s">
        <v>518</v>
      </c>
      <c r="AA179" t="s">
        <v>612</v>
      </c>
      <c r="AB179" t="s">
        <v>477</v>
      </c>
      <c r="AC179" t="s">
        <v>423</v>
      </c>
      <c r="AD179" t="s">
        <v>578</v>
      </c>
    </row>
    <row r="180" spans="1:30" x14ac:dyDescent="0.35">
      <c r="A180" t="s">
        <v>54</v>
      </c>
      <c r="B180">
        <v>2017</v>
      </c>
      <c r="C180" t="s">
        <v>242</v>
      </c>
      <c r="D180" t="s">
        <v>377</v>
      </c>
      <c r="E180" t="s">
        <v>415</v>
      </c>
      <c r="F180" t="s">
        <v>686</v>
      </c>
      <c r="G180" t="s">
        <v>509</v>
      </c>
      <c r="H180" t="s">
        <v>244</v>
      </c>
      <c r="I180" t="s">
        <v>527</v>
      </c>
      <c r="J180" t="s">
        <v>687</v>
      </c>
      <c r="K180" t="s">
        <v>210</v>
      </c>
      <c r="L180" t="s">
        <v>275</v>
      </c>
      <c r="M180" t="s">
        <v>521</v>
      </c>
      <c r="N180" t="s">
        <v>365</v>
      </c>
      <c r="O180" t="s">
        <v>632</v>
      </c>
      <c r="P180" t="s">
        <v>583</v>
      </c>
      <c r="Q180" t="s">
        <v>688</v>
      </c>
      <c r="R180" t="s">
        <v>414</v>
      </c>
      <c r="S180" t="s">
        <v>361</v>
      </c>
      <c r="T180" t="s">
        <v>489</v>
      </c>
      <c r="U180" t="s">
        <v>428</v>
      </c>
      <c r="V180" t="s">
        <v>387</v>
      </c>
      <c r="W180" t="s">
        <v>304</v>
      </c>
      <c r="X180" t="s">
        <v>385</v>
      </c>
      <c r="Y180" t="s">
        <v>268</v>
      </c>
      <c r="Z180" t="s">
        <v>361</v>
      </c>
      <c r="AA180" t="s">
        <v>544</v>
      </c>
      <c r="AB180" t="s">
        <v>354</v>
      </c>
      <c r="AC180" t="s">
        <v>353</v>
      </c>
      <c r="AD180" t="s">
        <v>412</v>
      </c>
    </row>
    <row r="181" spans="1:30" x14ac:dyDescent="0.35">
      <c r="A181" t="s">
        <v>73</v>
      </c>
      <c r="B181">
        <v>2017</v>
      </c>
      <c r="C181" t="s">
        <v>242</v>
      </c>
      <c r="D181" t="s">
        <v>471</v>
      </c>
      <c r="E181" t="s">
        <v>689</v>
      </c>
      <c r="F181" t="s">
        <v>666</v>
      </c>
      <c r="G181" t="s">
        <v>369</v>
      </c>
      <c r="H181" t="s">
        <v>248</v>
      </c>
      <c r="I181" t="s">
        <v>510</v>
      </c>
      <c r="J181" t="s">
        <v>624</v>
      </c>
      <c r="K181" t="s">
        <v>315</v>
      </c>
      <c r="L181" t="s">
        <v>281</v>
      </c>
      <c r="M181" t="s">
        <v>485</v>
      </c>
      <c r="N181" t="s">
        <v>358</v>
      </c>
      <c r="O181" t="s">
        <v>494</v>
      </c>
      <c r="P181" t="s">
        <v>372</v>
      </c>
      <c r="Q181" t="s">
        <v>466</v>
      </c>
      <c r="R181" t="s">
        <v>615</v>
      </c>
      <c r="S181" t="s">
        <v>493</v>
      </c>
      <c r="T181" t="s">
        <v>616</v>
      </c>
      <c r="U181" t="s">
        <v>428</v>
      </c>
      <c r="V181" t="s">
        <v>575</v>
      </c>
      <c r="W181" t="s">
        <v>461</v>
      </c>
      <c r="X181" t="s">
        <v>440</v>
      </c>
      <c r="Y181" t="s">
        <v>295</v>
      </c>
      <c r="Z181" t="s">
        <v>446</v>
      </c>
      <c r="AA181" t="s">
        <v>568</v>
      </c>
      <c r="AB181" t="s">
        <v>388</v>
      </c>
      <c r="AC181" t="s">
        <v>367</v>
      </c>
      <c r="AD181" t="s">
        <v>559</v>
      </c>
    </row>
    <row r="182" spans="1:30" x14ac:dyDescent="0.35">
      <c r="A182" t="s">
        <v>30</v>
      </c>
      <c r="B182">
        <v>2018</v>
      </c>
      <c r="C182" t="s">
        <v>31</v>
      </c>
      <c r="D182" t="s">
        <v>575</v>
      </c>
      <c r="E182" t="s">
        <v>630</v>
      </c>
      <c r="F182" t="s">
        <v>629</v>
      </c>
      <c r="G182" t="s">
        <v>616</v>
      </c>
      <c r="H182" t="s">
        <v>351</v>
      </c>
      <c r="I182" t="s">
        <v>690</v>
      </c>
      <c r="J182" t="s">
        <v>658</v>
      </c>
      <c r="K182" t="s">
        <v>389</v>
      </c>
      <c r="L182" t="s">
        <v>305</v>
      </c>
      <c r="M182" t="s">
        <v>548</v>
      </c>
      <c r="N182" t="s">
        <v>309</v>
      </c>
      <c r="O182" t="s">
        <v>194</v>
      </c>
      <c r="P182" t="s">
        <v>541</v>
      </c>
      <c r="Q182" t="s">
        <v>443</v>
      </c>
      <c r="R182" t="s">
        <v>643</v>
      </c>
      <c r="S182" t="s">
        <v>623</v>
      </c>
      <c r="T182" t="s">
        <v>637</v>
      </c>
      <c r="U182" t="s">
        <v>48</v>
      </c>
      <c r="V182" t="s">
        <v>623</v>
      </c>
      <c r="W182" t="s">
        <v>578</v>
      </c>
      <c r="X182" t="s">
        <v>548</v>
      </c>
      <c r="Y182" t="s">
        <v>296</v>
      </c>
      <c r="Z182" t="s">
        <v>436</v>
      </c>
      <c r="AA182" t="s">
        <v>626</v>
      </c>
      <c r="AB182" t="s">
        <v>367</v>
      </c>
      <c r="AC182" t="s">
        <v>376</v>
      </c>
      <c r="AD182" t="s">
        <v>538</v>
      </c>
    </row>
    <row r="183" spans="1:30" x14ac:dyDescent="0.35">
      <c r="A183" t="s">
        <v>54</v>
      </c>
      <c r="B183">
        <v>2018</v>
      </c>
      <c r="C183" t="s">
        <v>31</v>
      </c>
      <c r="D183" t="s">
        <v>552</v>
      </c>
      <c r="E183" t="s">
        <v>631</v>
      </c>
      <c r="F183" t="s">
        <v>156</v>
      </c>
      <c r="G183" t="s">
        <v>605</v>
      </c>
      <c r="H183" t="s">
        <v>177</v>
      </c>
      <c r="I183" t="s">
        <v>434</v>
      </c>
      <c r="J183" t="s">
        <v>654</v>
      </c>
      <c r="K183" t="s">
        <v>243</v>
      </c>
      <c r="L183" t="s">
        <v>226</v>
      </c>
      <c r="M183" t="s">
        <v>372</v>
      </c>
      <c r="N183" t="s">
        <v>308</v>
      </c>
      <c r="O183" t="s">
        <v>660</v>
      </c>
      <c r="P183" t="s">
        <v>559</v>
      </c>
      <c r="Q183" t="s">
        <v>324</v>
      </c>
      <c r="R183" t="s">
        <v>548</v>
      </c>
      <c r="S183" t="s">
        <v>308</v>
      </c>
      <c r="T183" t="s">
        <v>377</v>
      </c>
      <c r="U183" t="s">
        <v>541</v>
      </c>
      <c r="V183" t="s">
        <v>332</v>
      </c>
      <c r="W183" t="s">
        <v>408</v>
      </c>
      <c r="X183" t="s">
        <v>446</v>
      </c>
      <c r="Y183" t="s">
        <v>208</v>
      </c>
      <c r="Z183" t="s">
        <v>381</v>
      </c>
      <c r="AA183" t="s">
        <v>485</v>
      </c>
      <c r="AB183" t="s">
        <v>287</v>
      </c>
      <c r="AC183" t="s">
        <v>303</v>
      </c>
      <c r="AD183" t="s">
        <v>412</v>
      </c>
    </row>
    <row r="184" spans="1:30" x14ac:dyDescent="0.35">
      <c r="A184" t="s">
        <v>73</v>
      </c>
      <c r="B184">
        <v>2018</v>
      </c>
      <c r="C184" t="s">
        <v>31</v>
      </c>
      <c r="D184" t="s">
        <v>548</v>
      </c>
      <c r="E184" t="s">
        <v>574</v>
      </c>
      <c r="F184" t="s">
        <v>631</v>
      </c>
      <c r="G184" t="s">
        <v>612</v>
      </c>
      <c r="H184" t="s">
        <v>275</v>
      </c>
      <c r="I184" t="s">
        <v>640</v>
      </c>
      <c r="J184" t="s">
        <v>678</v>
      </c>
      <c r="K184" t="s">
        <v>332</v>
      </c>
      <c r="L184" t="s">
        <v>263</v>
      </c>
      <c r="M184" t="s">
        <v>310</v>
      </c>
      <c r="N184" t="s">
        <v>446</v>
      </c>
      <c r="O184" t="s">
        <v>438</v>
      </c>
      <c r="P184" t="s">
        <v>558</v>
      </c>
      <c r="Q184" t="s">
        <v>691</v>
      </c>
      <c r="R184" t="s">
        <v>651</v>
      </c>
      <c r="S184" t="s">
        <v>537</v>
      </c>
      <c r="T184" t="s">
        <v>623</v>
      </c>
      <c r="U184" t="s">
        <v>541</v>
      </c>
      <c r="V184" t="s">
        <v>575</v>
      </c>
      <c r="W184" t="s">
        <v>588</v>
      </c>
      <c r="X184" t="s">
        <v>432</v>
      </c>
      <c r="Y184" t="s">
        <v>284</v>
      </c>
      <c r="Z184" t="s">
        <v>328</v>
      </c>
      <c r="AA184" t="s">
        <v>638</v>
      </c>
      <c r="AB184" t="s">
        <v>332</v>
      </c>
      <c r="AC184" t="s">
        <v>315</v>
      </c>
      <c r="AD184" t="s">
        <v>564</v>
      </c>
    </row>
    <row r="185" spans="1:30" x14ac:dyDescent="0.35">
      <c r="A185" t="s">
        <v>30</v>
      </c>
      <c r="B185">
        <v>2018</v>
      </c>
      <c r="C185" t="s">
        <v>85</v>
      </c>
      <c r="D185" t="s">
        <v>516</v>
      </c>
      <c r="E185" t="s">
        <v>631</v>
      </c>
      <c r="F185" t="s">
        <v>531</v>
      </c>
      <c r="G185" t="s">
        <v>510</v>
      </c>
      <c r="H185" t="s">
        <v>237</v>
      </c>
      <c r="I185" t="s">
        <v>692</v>
      </c>
      <c r="J185" t="s">
        <v>603</v>
      </c>
      <c r="K185" t="s">
        <v>524</v>
      </c>
      <c r="L185" t="s">
        <v>277</v>
      </c>
      <c r="M185" t="s">
        <v>414</v>
      </c>
      <c r="N185" t="s">
        <v>418</v>
      </c>
      <c r="O185" t="s">
        <v>693</v>
      </c>
      <c r="P185" t="s">
        <v>567</v>
      </c>
      <c r="Q185" t="s">
        <v>694</v>
      </c>
      <c r="R185" t="s">
        <v>646</v>
      </c>
      <c r="S185" t="s">
        <v>603</v>
      </c>
      <c r="T185" t="s">
        <v>662</v>
      </c>
      <c r="U185" t="s">
        <v>48</v>
      </c>
      <c r="V185" t="s">
        <v>603</v>
      </c>
      <c r="W185" t="s">
        <v>571</v>
      </c>
      <c r="X185" t="s">
        <v>613</v>
      </c>
      <c r="Y185" t="s">
        <v>317</v>
      </c>
      <c r="Z185" t="s">
        <v>436</v>
      </c>
      <c r="AA185" t="s">
        <v>510</v>
      </c>
      <c r="AB185" t="s">
        <v>358</v>
      </c>
      <c r="AC185" t="s">
        <v>410</v>
      </c>
      <c r="AD185" t="s">
        <v>568</v>
      </c>
    </row>
    <row r="186" spans="1:30" x14ac:dyDescent="0.35">
      <c r="A186" t="s">
        <v>54</v>
      </c>
      <c r="B186">
        <v>2018</v>
      </c>
      <c r="C186" t="s">
        <v>85</v>
      </c>
      <c r="D186" t="s">
        <v>542</v>
      </c>
      <c r="E186" t="s">
        <v>667</v>
      </c>
      <c r="F186" t="s">
        <v>571</v>
      </c>
      <c r="G186" t="s">
        <v>571</v>
      </c>
      <c r="H186" t="s">
        <v>227</v>
      </c>
      <c r="I186" t="s">
        <v>537</v>
      </c>
      <c r="J186" t="s">
        <v>564</v>
      </c>
      <c r="K186" t="s">
        <v>151</v>
      </c>
      <c r="L186" t="s">
        <v>138</v>
      </c>
      <c r="M186" t="s">
        <v>589</v>
      </c>
      <c r="N186" t="s">
        <v>308</v>
      </c>
      <c r="O186" t="s">
        <v>695</v>
      </c>
      <c r="P186" t="s">
        <v>414</v>
      </c>
      <c r="Q186" t="s">
        <v>696</v>
      </c>
      <c r="R186" t="s">
        <v>528</v>
      </c>
      <c r="S186" t="s">
        <v>292</v>
      </c>
      <c r="T186" t="s">
        <v>461</v>
      </c>
      <c r="U186" t="s">
        <v>640</v>
      </c>
      <c r="V186" t="s">
        <v>332</v>
      </c>
      <c r="W186" t="s">
        <v>260</v>
      </c>
      <c r="X186" t="s">
        <v>342</v>
      </c>
      <c r="Y186" t="s">
        <v>232</v>
      </c>
      <c r="Z186" t="s">
        <v>388</v>
      </c>
      <c r="AA186" t="s">
        <v>559</v>
      </c>
      <c r="AB186" t="s">
        <v>381</v>
      </c>
      <c r="AC186" t="s">
        <v>388</v>
      </c>
      <c r="AD186" t="s">
        <v>489</v>
      </c>
    </row>
    <row r="187" spans="1:30" x14ac:dyDescent="0.35">
      <c r="A187" t="s">
        <v>73</v>
      </c>
      <c r="B187">
        <v>2018</v>
      </c>
      <c r="C187" t="s">
        <v>85</v>
      </c>
      <c r="D187" t="s">
        <v>505</v>
      </c>
      <c r="E187" t="s">
        <v>651</v>
      </c>
      <c r="F187" t="s">
        <v>368</v>
      </c>
      <c r="G187" t="s">
        <v>604</v>
      </c>
      <c r="H187" t="s">
        <v>187</v>
      </c>
      <c r="I187" t="s">
        <v>579</v>
      </c>
      <c r="J187" t="s">
        <v>372</v>
      </c>
      <c r="K187" t="s">
        <v>303</v>
      </c>
      <c r="L187" t="s">
        <v>221</v>
      </c>
      <c r="M187" t="s">
        <v>619</v>
      </c>
      <c r="N187" t="s">
        <v>367</v>
      </c>
      <c r="O187" t="s">
        <v>697</v>
      </c>
      <c r="P187" t="s">
        <v>486</v>
      </c>
      <c r="Q187" t="s">
        <v>698</v>
      </c>
      <c r="R187" t="s">
        <v>629</v>
      </c>
      <c r="S187" t="s">
        <v>414</v>
      </c>
      <c r="T187" t="s">
        <v>415</v>
      </c>
      <c r="U187" t="s">
        <v>640</v>
      </c>
      <c r="V187" t="s">
        <v>544</v>
      </c>
      <c r="W187" t="s">
        <v>422</v>
      </c>
      <c r="X187" t="s">
        <v>434</v>
      </c>
      <c r="Y187" t="s">
        <v>224</v>
      </c>
      <c r="Z187" t="s">
        <v>260</v>
      </c>
      <c r="AA187" t="s">
        <v>638</v>
      </c>
      <c r="AB187" t="s">
        <v>301</v>
      </c>
      <c r="AC187" t="s">
        <v>504</v>
      </c>
      <c r="AD187" t="s">
        <v>516</v>
      </c>
    </row>
    <row r="188" spans="1:30" x14ac:dyDescent="0.35">
      <c r="A188" t="s">
        <v>30</v>
      </c>
      <c r="B188">
        <v>2018</v>
      </c>
      <c r="C188" t="s">
        <v>107</v>
      </c>
      <c r="D188" t="s">
        <v>539</v>
      </c>
      <c r="E188" t="s">
        <v>629</v>
      </c>
      <c r="F188" t="s">
        <v>179</v>
      </c>
      <c r="G188" t="s">
        <v>616</v>
      </c>
      <c r="H188" t="s">
        <v>351</v>
      </c>
      <c r="I188" t="s">
        <v>596</v>
      </c>
      <c r="J188" t="s">
        <v>572</v>
      </c>
      <c r="K188" t="s">
        <v>304</v>
      </c>
      <c r="L188" t="s">
        <v>221</v>
      </c>
      <c r="M188" t="s">
        <v>528</v>
      </c>
      <c r="N188" t="s">
        <v>309</v>
      </c>
      <c r="O188" t="s">
        <v>699</v>
      </c>
      <c r="P188" t="s">
        <v>497</v>
      </c>
      <c r="Q188" t="s">
        <v>606</v>
      </c>
      <c r="R188" t="s">
        <v>601</v>
      </c>
      <c r="S188" t="s">
        <v>667</v>
      </c>
      <c r="T188" t="s">
        <v>643</v>
      </c>
      <c r="U188" t="s">
        <v>48</v>
      </c>
      <c r="V188" t="s">
        <v>415</v>
      </c>
      <c r="W188" t="s">
        <v>571</v>
      </c>
      <c r="X188" t="s">
        <v>544</v>
      </c>
      <c r="Y188" t="s">
        <v>354</v>
      </c>
      <c r="Z188" t="s">
        <v>493</v>
      </c>
      <c r="AA188" t="s">
        <v>565</v>
      </c>
      <c r="AB188" t="s">
        <v>304</v>
      </c>
      <c r="AC188" t="s">
        <v>432</v>
      </c>
      <c r="AD188" t="s">
        <v>567</v>
      </c>
    </row>
    <row r="189" spans="1:30" x14ac:dyDescent="0.35">
      <c r="A189" t="s">
        <v>54</v>
      </c>
      <c r="B189">
        <v>2018</v>
      </c>
      <c r="C189" t="s">
        <v>107</v>
      </c>
      <c r="D189" t="s">
        <v>527</v>
      </c>
      <c r="E189" t="s">
        <v>615</v>
      </c>
      <c r="F189" t="s">
        <v>537</v>
      </c>
      <c r="G189" t="s">
        <v>571</v>
      </c>
      <c r="H189" t="s">
        <v>241</v>
      </c>
      <c r="I189" t="s">
        <v>568</v>
      </c>
      <c r="J189" t="s">
        <v>379</v>
      </c>
      <c r="K189" t="s">
        <v>212</v>
      </c>
      <c r="L189" t="s">
        <v>139</v>
      </c>
      <c r="M189" t="s">
        <v>589</v>
      </c>
      <c r="N189" t="s">
        <v>381</v>
      </c>
      <c r="O189" t="s">
        <v>700</v>
      </c>
      <c r="P189" t="s">
        <v>542</v>
      </c>
      <c r="Q189" t="s">
        <v>566</v>
      </c>
      <c r="R189" t="s">
        <v>544</v>
      </c>
      <c r="S189" t="s">
        <v>162</v>
      </c>
      <c r="T189" t="s">
        <v>422</v>
      </c>
      <c r="U189" t="s">
        <v>616</v>
      </c>
      <c r="V189" t="s">
        <v>319</v>
      </c>
      <c r="W189" t="s">
        <v>405</v>
      </c>
      <c r="X189" t="s">
        <v>418</v>
      </c>
      <c r="Y189" t="s">
        <v>168</v>
      </c>
      <c r="Z189" t="s">
        <v>387</v>
      </c>
      <c r="AA189" t="s">
        <v>581</v>
      </c>
      <c r="AB189" t="s">
        <v>162</v>
      </c>
      <c r="AC189" t="s">
        <v>323</v>
      </c>
      <c r="AD189" t="s">
        <v>489</v>
      </c>
    </row>
    <row r="190" spans="1:30" x14ac:dyDescent="0.35">
      <c r="A190" t="s">
        <v>73</v>
      </c>
      <c r="B190">
        <v>2018</v>
      </c>
      <c r="C190" t="s">
        <v>107</v>
      </c>
      <c r="D190" t="s">
        <v>613</v>
      </c>
      <c r="E190" t="s">
        <v>156</v>
      </c>
      <c r="F190" t="s">
        <v>547</v>
      </c>
      <c r="G190" t="s">
        <v>580</v>
      </c>
      <c r="H190" t="s">
        <v>275</v>
      </c>
      <c r="I190" t="s">
        <v>644</v>
      </c>
      <c r="J190" t="s">
        <v>552</v>
      </c>
      <c r="K190" t="s">
        <v>354</v>
      </c>
      <c r="L190" t="s">
        <v>276</v>
      </c>
      <c r="M190" t="s">
        <v>581</v>
      </c>
      <c r="N190" t="s">
        <v>315</v>
      </c>
      <c r="O190" t="s">
        <v>701</v>
      </c>
      <c r="P190" t="s">
        <v>559</v>
      </c>
      <c r="Q190" t="s">
        <v>702</v>
      </c>
      <c r="R190" t="s">
        <v>609</v>
      </c>
      <c r="S190" t="s">
        <v>613</v>
      </c>
      <c r="T190" t="s">
        <v>615</v>
      </c>
      <c r="U190" t="s">
        <v>616</v>
      </c>
      <c r="V190" t="s">
        <v>534</v>
      </c>
      <c r="W190" t="s">
        <v>414</v>
      </c>
      <c r="X190" t="s">
        <v>436</v>
      </c>
      <c r="Y190" t="s">
        <v>285</v>
      </c>
      <c r="Z190" t="s">
        <v>375</v>
      </c>
      <c r="AA190" t="s">
        <v>578</v>
      </c>
      <c r="AB190" t="s">
        <v>385</v>
      </c>
      <c r="AC190" t="s">
        <v>453</v>
      </c>
      <c r="AD190" t="s">
        <v>534</v>
      </c>
    </row>
    <row r="191" spans="1:30" x14ac:dyDescent="0.35">
      <c r="A191" t="s">
        <v>30</v>
      </c>
      <c r="B191">
        <v>2018</v>
      </c>
      <c r="C191" t="s">
        <v>123</v>
      </c>
      <c r="D191" t="s">
        <v>485</v>
      </c>
      <c r="E191" t="s">
        <v>639</v>
      </c>
      <c r="F191" t="s">
        <v>505</v>
      </c>
      <c r="G191" t="s">
        <v>603</v>
      </c>
      <c r="H191" t="s">
        <v>253</v>
      </c>
      <c r="I191" t="s">
        <v>703</v>
      </c>
      <c r="J191" t="s">
        <v>493</v>
      </c>
      <c r="K191" t="s">
        <v>400</v>
      </c>
      <c r="L191" t="s">
        <v>255</v>
      </c>
      <c r="M191" t="s">
        <v>559</v>
      </c>
      <c r="N191" t="s">
        <v>423</v>
      </c>
      <c r="O191" t="s">
        <v>704</v>
      </c>
      <c r="P191" t="s">
        <v>497</v>
      </c>
      <c r="Q191" t="s">
        <v>705</v>
      </c>
      <c r="R191" t="s">
        <v>316</v>
      </c>
      <c r="S191" t="s">
        <v>689</v>
      </c>
      <c r="T191" t="s">
        <v>706</v>
      </c>
      <c r="U191" t="s">
        <v>48</v>
      </c>
      <c r="V191" t="s">
        <v>629</v>
      </c>
      <c r="W191" t="s">
        <v>604</v>
      </c>
      <c r="X191" t="s">
        <v>486</v>
      </c>
      <c r="Y191" t="s">
        <v>330</v>
      </c>
      <c r="Z191" t="s">
        <v>548</v>
      </c>
      <c r="AA191" t="s">
        <v>631</v>
      </c>
      <c r="AB191" t="s">
        <v>375</v>
      </c>
      <c r="AC191" t="s">
        <v>401</v>
      </c>
      <c r="AD191" t="s">
        <v>428</v>
      </c>
    </row>
    <row r="192" spans="1:30" x14ac:dyDescent="0.35">
      <c r="A192" t="s">
        <v>54</v>
      </c>
      <c r="B192">
        <v>2018</v>
      </c>
      <c r="C192" t="s">
        <v>123</v>
      </c>
      <c r="D192" t="s">
        <v>527</v>
      </c>
      <c r="E192" t="s">
        <v>609</v>
      </c>
      <c r="F192" t="s">
        <v>405</v>
      </c>
      <c r="G192" t="s">
        <v>368</v>
      </c>
      <c r="H192" t="s">
        <v>195</v>
      </c>
      <c r="I192" t="s">
        <v>316</v>
      </c>
      <c r="J192" t="s">
        <v>371</v>
      </c>
      <c r="K192" t="s">
        <v>170</v>
      </c>
      <c r="L192" t="s">
        <v>130</v>
      </c>
      <c r="M192" t="s">
        <v>585</v>
      </c>
      <c r="N192" t="s">
        <v>388</v>
      </c>
      <c r="O192" t="s">
        <v>643</v>
      </c>
      <c r="P192" t="s">
        <v>598</v>
      </c>
      <c r="Q192" t="s">
        <v>707</v>
      </c>
      <c r="R192" t="s">
        <v>581</v>
      </c>
      <c r="S192" t="s">
        <v>380</v>
      </c>
      <c r="T192" t="s">
        <v>613</v>
      </c>
      <c r="U192" t="s">
        <v>579</v>
      </c>
      <c r="V192" t="s">
        <v>354</v>
      </c>
      <c r="W192" t="s">
        <v>389</v>
      </c>
      <c r="X192" t="s">
        <v>406</v>
      </c>
      <c r="Y192" t="s">
        <v>213</v>
      </c>
      <c r="Z192" t="s">
        <v>371</v>
      </c>
      <c r="AA192" t="s">
        <v>521</v>
      </c>
      <c r="AB192" t="s">
        <v>371</v>
      </c>
      <c r="AC192" t="s">
        <v>385</v>
      </c>
      <c r="AD192" t="s">
        <v>542</v>
      </c>
    </row>
    <row r="193" spans="1:30" x14ac:dyDescent="0.35">
      <c r="A193" t="s">
        <v>73</v>
      </c>
      <c r="B193">
        <v>2018</v>
      </c>
      <c r="C193" t="s">
        <v>123</v>
      </c>
      <c r="D193" t="s">
        <v>516</v>
      </c>
      <c r="E193" t="s">
        <v>630</v>
      </c>
      <c r="F193" t="s">
        <v>517</v>
      </c>
      <c r="G193" t="s">
        <v>626</v>
      </c>
      <c r="H193" t="s">
        <v>285</v>
      </c>
      <c r="I193" t="s">
        <v>437</v>
      </c>
      <c r="J193" t="s">
        <v>417</v>
      </c>
      <c r="K193" t="s">
        <v>253</v>
      </c>
      <c r="L193" t="s">
        <v>206</v>
      </c>
      <c r="M193" t="s">
        <v>498</v>
      </c>
      <c r="N193" t="s">
        <v>504</v>
      </c>
      <c r="O193" t="s">
        <v>610</v>
      </c>
      <c r="P193" t="s">
        <v>310</v>
      </c>
      <c r="Q193" t="s">
        <v>586</v>
      </c>
      <c r="R193" t="s">
        <v>608</v>
      </c>
      <c r="S193" t="s">
        <v>544</v>
      </c>
      <c r="T193" t="s">
        <v>451</v>
      </c>
      <c r="U193" t="s">
        <v>579</v>
      </c>
      <c r="V193" t="s">
        <v>534</v>
      </c>
      <c r="W193" t="s">
        <v>575</v>
      </c>
      <c r="X193" t="s">
        <v>422</v>
      </c>
      <c r="Y193" t="s">
        <v>269</v>
      </c>
      <c r="Z193" t="s">
        <v>406</v>
      </c>
      <c r="AA193" t="s">
        <v>708</v>
      </c>
      <c r="AB193" t="s">
        <v>165</v>
      </c>
      <c r="AC193" t="s">
        <v>406</v>
      </c>
      <c r="AD193" t="s">
        <v>485</v>
      </c>
    </row>
    <row r="194" spans="1:30" x14ac:dyDescent="0.35">
      <c r="A194" t="s">
        <v>30</v>
      </c>
      <c r="B194">
        <v>2018</v>
      </c>
      <c r="C194" t="s">
        <v>136</v>
      </c>
      <c r="D194" t="s">
        <v>429</v>
      </c>
      <c r="E194" t="s">
        <v>245</v>
      </c>
      <c r="F194" t="s">
        <v>537</v>
      </c>
      <c r="G194" t="s">
        <v>579</v>
      </c>
      <c r="H194" t="s">
        <v>374</v>
      </c>
      <c r="I194" t="s">
        <v>709</v>
      </c>
      <c r="J194" t="s">
        <v>581</v>
      </c>
      <c r="K194" t="s">
        <v>397</v>
      </c>
      <c r="L194" t="s">
        <v>229</v>
      </c>
      <c r="M194" t="s">
        <v>429</v>
      </c>
      <c r="N194" t="s">
        <v>482</v>
      </c>
      <c r="O194" t="s">
        <v>710</v>
      </c>
      <c r="P194" t="s">
        <v>428</v>
      </c>
      <c r="Q194" t="s">
        <v>688</v>
      </c>
      <c r="R194" t="s">
        <v>671</v>
      </c>
      <c r="S194" t="s">
        <v>506</v>
      </c>
      <c r="T194" t="s">
        <v>661</v>
      </c>
      <c r="U194" t="s">
        <v>48</v>
      </c>
      <c r="V194" t="s">
        <v>609</v>
      </c>
      <c r="W194" t="s">
        <v>545</v>
      </c>
      <c r="X194" t="s">
        <v>584</v>
      </c>
      <c r="Y194" t="s">
        <v>319</v>
      </c>
      <c r="Z194" t="s">
        <v>539</v>
      </c>
      <c r="AA194" t="s">
        <v>630</v>
      </c>
      <c r="AB194" t="s">
        <v>309</v>
      </c>
      <c r="AC194" t="s">
        <v>493</v>
      </c>
      <c r="AD194" t="s">
        <v>578</v>
      </c>
    </row>
    <row r="195" spans="1:30" x14ac:dyDescent="0.35">
      <c r="A195" t="s">
        <v>54</v>
      </c>
      <c r="B195">
        <v>2018</v>
      </c>
      <c r="C195" t="s">
        <v>136</v>
      </c>
      <c r="D195" t="s">
        <v>527</v>
      </c>
      <c r="E195" t="s">
        <v>655</v>
      </c>
      <c r="F195" t="s">
        <v>418</v>
      </c>
      <c r="G195" t="s">
        <v>589</v>
      </c>
      <c r="H195" t="s">
        <v>177</v>
      </c>
      <c r="I195" t="s">
        <v>711</v>
      </c>
      <c r="J195" t="s">
        <v>396</v>
      </c>
      <c r="K195" t="s">
        <v>101</v>
      </c>
      <c r="L195" t="s">
        <v>102</v>
      </c>
      <c r="M195" t="s">
        <v>605</v>
      </c>
      <c r="N195" t="s">
        <v>340</v>
      </c>
      <c r="O195" t="s">
        <v>646</v>
      </c>
      <c r="P195" t="s">
        <v>516</v>
      </c>
      <c r="Q195" t="s">
        <v>712</v>
      </c>
      <c r="R195" t="s">
        <v>497</v>
      </c>
      <c r="S195" t="s">
        <v>420</v>
      </c>
      <c r="T195" t="s">
        <v>526</v>
      </c>
      <c r="U195" t="s">
        <v>634</v>
      </c>
      <c r="V195" t="s">
        <v>325</v>
      </c>
      <c r="W195" t="s">
        <v>410</v>
      </c>
      <c r="X195" t="s">
        <v>465</v>
      </c>
      <c r="Y195" t="s">
        <v>210</v>
      </c>
      <c r="Z195" t="s">
        <v>379</v>
      </c>
      <c r="AA195" t="s">
        <v>541</v>
      </c>
      <c r="AB195" t="s">
        <v>391</v>
      </c>
      <c r="AC195" t="s">
        <v>335</v>
      </c>
      <c r="AD195" t="s">
        <v>530</v>
      </c>
    </row>
    <row r="196" spans="1:30" x14ac:dyDescent="0.35">
      <c r="A196" t="s">
        <v>73</v>
      </c>
      <c r="B196">
        <v>2018</v>
      </c>
      <c r="C196" t="s">
        <v>136</v>
      </c>
      <c r="D196" t="s">
        <v>575</v>
      </c>
      <c r="E196" t="s">
        <v>713</v>
      </c>
      <c r="F196" t="s">
        <v>490</v>
      </c>
      <c r="G196" t="s">
        <v>455</v>
      </c>
      <c r="H196" t="s">
        <v>285</v>
      </c>
      <c r="I196" t="s">
        <v>676</v>
      </c>
      <c r="J196" t="s">
        <v>414</v>
      </c>
      <c r="K196" t="s">
        <v>341</v>
      </c>
      <c r="L196" t="s">
        <v>135</v>
      </c>
      <c r="M196" t="s">
        <v>535</v>
      </c>
      <c r="N196" t="s">
        <v>260</v>
      </c>
      <c r="O196" t="s">
        <v>693</v>
      </c>
      <c r="P196" t="s">
        <v>535</v>
      </c>
      <c r="Q196" t="s">
        <v>714</v>
      </c>
      <c r="R196" t="s">
        <v>681</v>
      </c>
      <c r="S196" t="s">
        <v>429</v>
      </c>
      <c r="T196" t="s">
        <v>715</v>
      </c>
      <c r="U196" t="s">
        <v>634</v>
      </c>
      <c r="V196" t="s">
        <v>564</v>
      </c>
      <c r="W196" t="s">
        <v>429</v>
      </c>
      <c r="X196" t="s">
        <v>548</v>
      </c>
      <c r="Y196" t="s">
        <v>237</v>
      </c>
      <c r="Z196" t="s">
        <v>389</v>
      </c>
      <c r="AA196" t="s">
        <v>455</v>
      </c>
      <c r="AB196" t="s">
        <v>260</v>
      </c>
      <c r="AC196" t="s">
        <v>313</v>
      </c>
      <c r="AD196" t="s">
        <v>581</v>
      </c>
    </row>
    <row r="197" spans="1:30" x14ac:dyDescent="0.35">
      <c r="A197" t="s">
        <v>30</v>
      </c>
      <c r="B197">
        <v>2018</v>
      </c>
      <c r="C197" t="s">
        <v>146</v>
      </c>
      <c r="D197" t="s">
        <v>486</v>
      </c>
      <c r="E197" t="s">
        <v>425</v>
      </c>
      <c r="F197" t="s">
        <v>544</v>
      </c>
      <c r="G197" t="s">
        <v>634</v>
      </c>
      <c r="H197" t="s">
        <v>357</v>
      </c>
      <c r="I197" t="s">
        <v>716</v>
      </c>
      <c r="J197" t="s">
        <v>651</v>
      </c>
      <c r="K197" t="s">
        <v>393</v>
      </c>
      <c r="L197" t="s">
        <v>155</v>
      </c>
      <c r="M197" t="s">
        <v>486</v>
      </c>
      <c r="N197" t="s">
        <v>427</v>
      </c>
      <c r="O197" t="s">
        <v>710</v>
      </c>
      <c r="P197" t="s">
        <v>179</v>
      </c>
      <c r="Q197" t="s">
        <v>717</v>
      </c>
      <c r="R197" t="s">
        <v>711</v>
      </c>
      <c r="S197" t="s">
        <v>715</v>
      </c>
      <c r="T197" t="s">
        <v>673</v>
      </c>
      <c r="U197" t="s">
        <v>48</v>
      </c>
      <c r="V197" t="s">
        <v>441</v>
      </c>
      <c r="W197" t="s">
        <v>553</v>
      </c>
      <c r="X197" t="s">
        <v>584</v>
      </c>
      <c r="Y197" t="s">
        <v>380</v>
      </c>
      <c r="Z197" t="s">
        <v>581</v>
      </c>
      <c r="AA197" t="s">
        <v>441</v>
      </c>
      <c r="AB197" t="s">
        <v>396</v>
      </c>
      <c r="AC197" t="s">
        <v>414</v>
      </c>
      <c r="AD197" t="s">
        <v>372</v>
      </c>
    </row>
    <row r="198" spans="1:30" x14ac:dyDescent="0.35">
      <c r="A198" t="s">
        <v>54</v>
      </c>
      <c r="B198">
        <v>2018</v>
      </c>
      <c r="C198" t="s">
        <v>146</v>
      </c>
      <c r="D198" t="s">
        <v>473</v>
      </c>
      <c r="E198" t="s">
        <v>718</v>
      </c>
      <c r="F198" t="s">
        <v>517</v>
      </c>
      <c r="G198" t="s">
        <v>433</v>
      </c>
      <c r="H198" t="s">
        <v>195</v>
      </c>
      <c r="I198" t="s">
        <v>633</v>
      </c>
      <c r="J198" t="s">
        <v>451</v>
      </c>
      <c r="K198" t="s">
        <v>144</v>
      </c>
      <c r="L198" t="s">
        <v>74</v>
      </c>
      <c r="M198" t="s">
        <v>179</v>
      </c>
      <c r="N198" t="s">
        <v>162</v>
      </c>
      <c r="O198" t="s">
        <v>494</v>
      </c>
      <c r="P198" t="s">
        <v>584</v>
      </c>
      <c r="Q198" t="s">
        <v>685</v>
      </c>
      <c r="R198" t="s">
        <v>185</v>
      </c>
      <c r="S198" t="s">
        <v>403</v>
      </c>
      <c r="T198" t="s">
        <v>429</v>
      </c>
      <c r="U198" t="s">
        <v>642</v>
      </c>
      <c r="V198" t="s">
        <v>388</v>
      </c>
      <c r="W198" t="s">
        <v>440</v>
      </c>
      <c r="X198" t="s">
        <v>417</v>
      </c>
      <c r="Y198" t="s">
        <v>187</v>
      </c>
      <c r="Z198" t="s">
        <v>249</v>
      </c>
      <c r="AA198" t="s">
        <v>580</v>
      </c>
      <c r="AB198" t="s">
        <v>385</v>
      </c>
      <c r="AC198" t="s">
        <v>408</v>
      </c>
      <c r="AD198" t="s">
        <v>613</v>
      </c>
    </row>
    <row r="199" spans="1:30" x14ac:dyDescent="0.35">
      <c r="A199" t="s">
        <v>73</v>
      </c>
      <c r="B199">
        <v>2018</v>
      </c>
      <c r="C199" t="s">
        <v>146</v>
      </c>
      <c r="D199" t="s">
        <v>564</v>
      </c>
      <c r="E199" t="s">
        <v>646</v>
      </c>
      <c r="F199" t="s">
        <v>414</v>
      </c>
      <c r="G199" t="s">
        <v>623</v>
      </c>
      <c r="H199" t="s">
        <v>344</v>
      </c>
      <c r="I199" t="s">
        <v>362</v>
      </c>
      <c r="J199" t="s">
        <v>631</v>
      </c>
      <c r="K199" t="s">
        <v>280</v>
      </c>
      <c r="L199" t="s">
        <v>143</v>
      </c>
      <c r="M199" t="s">
        <v>584</v>
      </c>
      <c r="N199" t="s">
        <v>453</v>
      </c>
      <c r="O199" t="s">
        <v>194</v>
      </c>
      <c r="P199" t="s">
        <v>636</v>
      </c>
      <c r="Q199" t="s">
        <v>719</v>
      </c>
      <c r="R199" t="s">
        <v>720</v>
      </c>
      <c r="S199" t="s">
        <v>535</v>
      </c>
      <c r="T199" t="s">
        <v>666</v>
      </c>
      <c r="U199" t="s">
        <v>642</v>
      </c>
      <c r="V199" t="s">
        <v>535</v>
      </c>
      <c r="W199" t="s">
        <v>444</v>
      </c>
      <c r="X199" t="s">
        <v>613</v>
      </c>
      <c r="Y199" t="s">
        <v>141</v>
      </c>
      <c r="Z199" t="s">
        <v>417</v>
      </c>
      <c r="AA199" t="s">
        <v>563</v>
      </c>
      <c r="AB199" t="s">
        <v>409</v>
      </c>
      <c r="AC199" t="s">
        <v>417</v>
      </c>
      <c r="AD199" t="s">
        <v>568</v>
      </c>
    </row>
    <row r="200" spans="1:30" x14ac:dyDescent="0.35">
      <c r="A200" t="s">
        <v>30</v>
      </c>
      <c r="B200">
        <v>2018</v>
      </c>
      <c r="C200" t="s">
        <v>163</v>
      </c>
      <c r="D200" t="s">
        <v>584</v>
      </c>
      <c r="E200" t="s">
        <v>664</v>
      </c>
      <c r="F200" t="s">
        <v>538</v>
      </c>
      <c r="G200" t="s">
        <v>659</v>
      </c>
      <c r="H200" t="s">
        <v>264</v>
      </c>
      <c r="I200" t="s">
        <v>694</v>
      </c>
      <c r="J200" t="s">
        <v>466</v>
      </c>
      <c r="K200" t="s">
        <v>319</v>
      </c>
      <c r="L200" t="s">
        <v>183</v>
      </c>
      <c r="M200" t="s">
        <v>498</v>
      </c>
      <c r="N200" t="s">
        <v>427</v>
      </c>
      <c r="O200" t="s">
        <v>721</v>
      </c>
      <c r="P200" t="s">
        <v>616</v>
      </c>
      <c r="Q200" t="s">
        <v>705</v>
      </c>
      <c r="R200" t="s">
        <v>648</v>
      </c>
      <c r="S200" t="s">
        <v>441</v>
      </c>
      <c r="T200" t="s">
        <v>722</v>
      </c>
      <c r="U200" t="s">
        <v>48</v>
      </c>
      <c r="V200" t="s">
        <v>660</v>
      </c>
      <c r="W200" t="s">
        <v>615</v>
      </c>
      <c r="X200" t="s">
        <v>638</v>
      </c>
      <c r="Y200" t="s">
        <v>402</v>
      </c>
      <c r="Z200" t="s">
        <v>584</v>
      </c>
      <c r="AA200" t="s">
        <v>641</v>
      </c>
      <c r="AB200" t="s">
        <v>396</v>
      </c>
      <c r="AC200" t="s">
        <v>548</v>
      </c>
      <c r="AD200" t="s">
        <v>545</v>
      </c>
    </row>
    <row r="201" spans="1:30" x14ac:dyDescent="0.35">
      <c r="A201" t="s">
        <v>54</v>
      </c>
      <c r="B201">
        <v>2018</v>
      </c>
      <c r="C201" t="s">
        <v>163</v>
      </c>
      <c r="D201" t="s">
        <v>414</v>
      </c>
      <c r="E201" t="s">
        <v>647</v>
      </c>
      <c r="F201" t="s">
        <v>428</v>
      </c>
      <c r="G201" t="s">
        <v>369</v>
      </c>
      <c r="H201" t="s">
        <v>252</v>
      </c>
      <c r="I201" t="s">
        <v>718</v>
      </c>
      <c r="J201" t="s">
        <v>707</v>
      </c>
      <c r="K201" t="s">
        <v>180</v>
      </c>
      <c r="L201" t="s">
        <v>229</v>
      </c>
      <c r="M201" t="s">
        <v>368</v>
      </c>
      <c r="N201" t="s">
        <v>387</v>
      </c>
      <c r="O201" t="s">
        <v>692</v>
      </c>
      <c r="P201" t="s">
        <v>368</v>
      </c>
      <c r="Q201" t="s">
        <v>723</v>
      </c>
      <c r="R201" t="s">
        <v>605</v>
      </c>
      <c r="S201" t="s">
        <v>335</v>
      </c>
      <c r="T201" t="s">
        <v>444</v>
      </c>
      <c r="U201" t="s">
        <v>156</v>
      </c>
      <c r="V201" t="s">
        <v>391</v>
      </c>
      <c r="W201" t="s">
        <v>490</v>
      </c>
      <c r="X201" t="s">
        <v>490</v>
      </c>
      <c r="Y201" t="s">
        <v>152</v>
      </c>
      <c r="Z201" t="s">
        <v>446</v>
      </c>
      <c r="AA201" t="s">
        <v>451</v>
      </c>
      <c r="AB201" t="s">
        <v>385</v>
      </c>
      <c r="AC201" t="s">
        <v>524</v>
      </c>
      <c r="AD201" t="s">
        <v>310</v>
      </c>
    </row>
    <row r="202" spans="1:30" x14ac:dyDescent="0.35">
      <c r="A202" t="s">
        <v>73</v>
      </c>
      <c r="B202">
        <v>2018</v>
      </c>
      <c r="C202" t="s">
        <v>163</v>
      </c>
      <c r="D202" t="s">
        <v>310</v>
      </c>
      <c r="E202" t="s">
        <v>706</v>
      </c>
      <c r="F202" t="s">
        <v>558</v>
      </c>
      <c r="G202" t="s">
        <v>642</v>
      </c>
      <c r="H202" t="s">
        <v>280</v>
      </c>
      <c r="I202" t="s">
        <v>678</v>
      </c>
      <c r="J202" t="s">
        <v>724</v>
      </c>
      <c r="K202" t="s">
        <v>288</v>
      </c>
      <c r="L202" t="s">
        <v>220</v>
      </c>
      <c r="M202" t="s">
        <v>185</v>
      </c>
      <c r="N202" t="s">
        <v>453</v>
      </c>
      <c r="O202" t="s">
        <v>725</v>
      </c>
      <c r="P202" t="s">
        <v>708</v>
      </c>
      <c r="Q202" t="s">
        <v>709</v>
      </c>
      <c r="R202" t="s">
        <v>660</v>
      </c>
      <c r="S202" t="s">
        <v>584</v>
      </c>
      <c r="T202" t="s">
        <v>627</v>
      </c>
      <c r="U202" t="s">
        <v>156</v>
      </c>
      <c r="V202" t="s">
        <v>521</v>
      </c>
      <c r="W202" t="s">
        <v>497</v>
      </c>
      <c r="X202" t="s">
        <v>526</v>
      </c>
      <c r="Y202" t="s">
        <v>374</v>
      </c>
      <c r="Z202" t="s">
        <v>440</v>
      </c>
      <c r="AA202" t="s">
        <v>715</v>
      </c>
      <c r="AB202" t="s">
        <v>409</v>
      </c>
      <c r="AC202" t="s">
        <v>421</v>
      </c>
      <c r="AD202" t="s">
        <v>578</v>
      </c>
    </row>
    <row r="203" spans="1:30" x14ac:dyDescent="0.35">
      <c r="A203" t="s">
        <v>30</v>
      </c>
      <c r="B203">
        <v>2018</v>
      </c>
      <c r="C203" t="s">
        <v>182</v>
      </c>
      <c r="D203" t="s">
        <v>558</v>
      </c>
      <c r="E203" t="s">
        <v>726</v>
      </c>
      <c r="F203" t="s">
        <v>428</v>
      </c>
      <c r="G203" t="s">
        <v>651</v>
      </c>
      <c r="H203" t="s">
        <v>302</v>
      </c>
      <c r="I203" t="s">
        <v>727</v>
      </c>
      <c r="J203" t="s">
        <v>702</v>
      </c>
      <c r="K203" t="s">
        <v>387</v>
      </c>
      <c r="L203" t="s">
        <v>138</v>
      </c>
      <c r="M203" t="s">
        <v>497</v>
      </c>
      <c r="N203" t="s">
        <v>434</v>
      </c>
      <c r="O203" t="s">
        <v>478</v>
      </c>
      <c r="P203" t="s">
        <v>565</v>
      </c>
      <c r="Q203" t="s">
        <v>703</v>
      </c>
      <c r="R203" t="s">
        <v>658</v>
      </c>
      <c r="S203" t="s">
        <v>641</v>
      </c>
      <c r="T203" t="s">
        <v>711</v>
      </c>
      <c r="U203" t="s">
        <v>48</v>
      </c>
      <c r="V203" t="s">
        <v>649</v>
      </c>
      <c r="W203" t="s">
        <v>629</v>
      </c>
      <c r="X203" t="s">
        <v>636</v>
      </c>
      <c r="Y203" t="s">
        <v>312</v>
      </c>
      <c r="Z203" t="s">
        <v>497</v>
      </c>
      <c r="AA203" t="s">
        <v>728</v>
      </c>
      <c r="AB203" t="s">
        <v>406</v>
      </c>
      <c r="AC203" t="s">
        <v>575</v>
      </c>
      <c r="AD203" t="s">
        <v>642</v>
      </c>
    </row>
    <row r="204" spans="1:30" x14ac:dyDescent="0.35">
      <c r="A204" t="s">
        <v>54</v>
      </c>
      <c r="B204">
        <v>2018</v>
      </c>
      <c r="C204" t="s">
        <v>182</v>
      </c>
      <c r="D204" t="s">
        <v>534</v>
      </c>
      <c r="E204" t="s">
        <v>720</v>
      </c>
      <c r="F204" t="s">
        <v>575</v>
      </c>
      <c r="G204" t="s">
        <v>580</v>
      </c>
      <c r="H204" t="s">
        <v>232</v>
      </c>
      <c r="I204" t="s">
        <v>632</v>
      </c>
      <c r="J204" t="s">
        <v>717</v>
      </c>
      <c r="K204" t="s">
        <v>211</v>
      </c>
      <c r="L204" t="s">
        <v>222</v>
      </c>
      <c r="M204" t="s">
        <v>612</v>
      </c>
      <c r="N204" t="s">
        <v>380</v>
      </c>
      <c r="O204" t="s">
        <v>701</v>
      </c>
      <c r="P204" t="s">
        <v>501</v>
      </c>
      <c r="Q204" t="s">
        <v>350</v>
      </c>
      <c r="R204" t="s">
        <v>179</v>
      </c>
      <c r="S204" t="s">
        <v>446</v>
      </c>
      <c r="T204" t="s">
        <v>547</v>
      </c>
      <c r="U204" t="s">
        <v>592</v>
      </c>
      <c r="V204" t="s">
        <v>342</v>
      </c>
      <c r="W204" t="s">
        <v>377</v>
      </c>
      <c r="X204" t="s">
        <v>588</v>
      </c>
      <c r="Y204" t="s">
        <v>275</v>
      </c>
      <c r="Z204" t="s">
        <v>342</v>
      </c>
      <c r="AA204" t="s">
        <v>608</v>
      </c>
      <c r="AB204" t="s">
        <v>312</v>
      </c>
      <c r="AC204" t="s">
        <v>457</v>
      </c>
      <c r="AD204" t="s">
        <v>572</v>
      </c>
    </row>
    <row r="205" spans="1:30" x14ac:dyDescent="0.35">
      <c r="A205" t="s">
        <v>73</v>
      </c>
      <c r="B205">
        <v>2018</v>
      </c>
      <c r="C205" t="s">
        <v>182</v>
      </c>
      <c r="D205" t="s">
        <v>547</v>
      </c>
      <c r="E205" t="s">
        <v>635</v>
      </c>
      <c r="F205" t="s">
        <v>535</v>
      </c>
      <c r="G205" t="s">
        <v>415</v>
      </c>
      <c r="H205" t="s">
        <v>265</v>
      </c>
      <c r="I205" t="s">
        <v>722</v>
      </c>
      <c r="J205" t="s">
        <v>669</v>
      </c>
      <c r="K205" t="s">
        <v>311</v>
      </c>
      <c r="L205" t="s">
        <v>181</v>
      </c>
      <c r="M205" t="s">
        <v>636</v>
      </c>
      <c r="N205" t="s">
        <v>338</v>
      </c>
      <c r="O205" t="s">
        <v>729</v>
      </c>
      <c r="P205" t="s">
        <v>730</v>
      </c>
      <c r="Q205" t="s">
        <v>714</v>
      </c>
      <c r="R205" t="s">
        <v>670</v>
      </c>
      <c r="S205" t="s">
        <v>583</v>
      </c>
      <c r="T205" t="s">
        <v>665</v>
      </c>
      <c r="U205" t="s">
        <v>592</v>
      </c>
      <c r="V205" t="s">
        <v>604</v>
      </c>
      <c r="W205" t="s">
        <v>636</v>
      </c>
      <c r="X205" t="s">
        <v>555</v>
      </c>
      <c r="Y205" t="s">
        <v>349</v>
      </c>
      <c r="Z205" t="s">
        <v>490</v>
      </c>
      <c r="AA205" t="s">
        <v>681</v>
      </c>
      <c r="AB205" t="s">
        <v>409</v>
      </c>
      <c r="AC205" t="s">
        <v>517</v>
      </c>
      <c r="AD205" t="s">
        <v>541</v>
      </c>
    </row>
    <row r="206" spans="1:30" x14ac:dyDescent="0.35">
      <c r="A206" t="s">
        <v>30</v>
      </c>
      <c r="B206">
        <v>2018</v>
      </c>
      <c r="C206" t="s">
        <v>197</v>
      </c>
      <c r="D206" t="s">
        <v>636</v>
      </c>
      <c r="E206" t="s">
        <v>674</v>
      </c>
      <c r="F206" t="s">
        <v>575</v>
      </c>
      <c r="G206" t="s">
        <v>631</v>
      </c>
      <c r="H206" t="s">
        <v>354</v>
      </c>
      <c r="I206" t="s">
        <v>316</v>
      </c>
      <c r="J206" t="s">
        <v>692</v>
      </c>
      <c r="K206" t="s">
        <v>346</v>
      </c>
      <c r="L206" t="s">
        <v>231</v>
      </c>
      <c r="M206" t="s">
        <v>567</v>
      </c>
      <c r="N206" t="s">
        <v>440</v>
      </c>
      <c r="O206" t="s">
        <v>724</v>
      </c>
      <c r="P206" t="s">
        <v>640</v>
      </c>
      <c r="Q206" t="s">
        <v>324</v>
      </c>
      <c r="R206" t="s">
        <v>658</v>
      </c>
      <c r="S206" t="s">
        <v>665</v>
      </c>
      <c r="T206" t="s">
        <v>711</v>
      </c>
      <c r="U206" t="s">
        <v>48</v>
      </c>
      <c r="V206" t="s">
        <v>494</v>
      </c>
      <c r="W206" t="s">
        <v>451</v>
      </c>
      <c r="X206" t="s">
        <v>179</v>
      </c>
      <c r="Y206" t="s">
        <v>260</v>
      </c>
      <c r="Z206" t="s">
        <v>179</v>
      </c>
      <c r="AA206" t="s">
        <v>700</v>
      </c>
      <c r="AB206" t="s">
        <v>465</v>
      </c>
      <c r="AC206" t="s">
        <v>429</v>
      </c>
      <c r="AD206" t="s">
        <v>455</v>
      </c>
    </row>
    <row r="207" spans="1:30" x14ac:dyDescent="0.35">
      <c r="A207" t="s">
        <v>54</v>
      </c>
      <c r="B207">
        <v>2018</v>
      </c>
      <c r="C207" t="s">
        <v>197</v>
      </c>
      <c r="D207" t="s">
        <v>526</v>
      </c>
      <c r="E207" t="s">
        <v>615</v>
      </c>
      <c r="F207" t="s">
        <v>427</v>
      </c>
      <c r="G207" t="s">
        <v>510</v>
      </c>
      <c r="H207" t="s">
        <v>168</v>
      </c>
      <c r="I207" t="s">
        <v>179</v>
      </c>
      <c r="J207" t="s">
        <v>711</v>
      </c>
      <c r="K207" t="s">
        <v>220</v>
      </c>
      <c r="L207" t="s">
        <v>144</v>
      </c>
      <c r="M207" t="s">
        <v>580</v>
      </c>
      <c r="N207" t="s">
        <v>301</v>
      </c>
      <c r="O207" t="s">
        <v>711</v>
      </c>
      <c r="P207" t="s">
        <v>185</v>
      </c>
      <c r="Q207" t="s">
        <v>731</v>
      </c>
      <c r="R207" t="s">
        <v>433</v>
      </c>
      <c r="S207" t="s">
        <v>304</v>
      </c>
      <c r="T207" t="s">
        <v>428</v>
      </c>
      <c r="U207" t="s">
        <v>608</v>
      </c>
      <c r="V207" t="s">
        <v>309</v>
      </c>
      <c r="W207" t="s">
        <v>588</v>
      </c>
      <c r="X207" t="s">
        <v>598</v>
      </c>
      <c r="Y207" t="s">
        <v>230</v>
      </c>
      <c r="Z207" t="s">
        <v>524</v>
      </c>
      <c r="AA207" t="s">
        <v>666</v>
      </c>
      <c r="AB207" t="s">
        <v>304</v>
      </c>
      <c r="AC207" t="s">
        <v>423</v>
      </c>
      <c r="AD207" t="s">
        <v>535</v>
      </c>
    </row>
    <row r="208" spans="1:30" x14ac:dyDescent="0.35">
      <c r="A208" t="s">
        <v>73</v>
      </c>
      <c r="B208">
        <v>2018</v>
      </c>
      <c r="C208" t="s">
        <v>197</v>
      </c>
      <c r="D208" t="s">
        <v>497</v>
      </c>
      <c r="E208" t="s">
        <v>641</v>
      </c>
      <c r="F208" t="s">
        <v>493</v>
      </c>
      <c r="G208" t="s">
        <v>579</v>
      </c>
      <c r="H208" t="s">
        <v>279</v>
      </c>
      <c r="I208" t="s">
        <v>254</v>
      </c>
      <c r="J208" t="s">
        <v>463</v>
      </c>
      <c r="K208" t="s">
        <v>280</v>
      </c>
      <c r="L208" t="s">
        <v>206</v>
      </c>
      <c r="M208" t="s">
        <v>509</v>
      </c>
      <c r="N208" t="s">
        <v>405</v>
      </c>
      <c r="O208" t="s">
        <v>704</v>
      </c>
      <c r="P208" t="s">
        <v>541</v>
      </c>
      <c r="Q208" t="s">
        <v>707</v>
      </c>
      <c r="R208" t="s">
        <v>649</v>
      </c>
      <c r="S208" t="s">
        <v>428</v>
      </c>
      <c r="T208" t="s">
        <v>645</v>
      </c>
      <c r="U208" t="s">
        <v>608</v>
      </c>
      <c r="V208" t="s">
        <v>623</v>
      </c>
      <c r="W208" t="s">
        <v>521</v>
      </c>
      <c r="X208" t="s">
        <v>584</v>
      </c>
      <c r="Y208" t="s">
        <v>393</v>
      </c>
      <c r="Z208" t="s">
        <v>500</v>
      </c>
      <c r="AA208" t="s">
        <v>644</v>
      </c>
      <c r="AB208" t="s">
        <v>394</v>
      </c>
      <c r="AC208" t="s">
        <v>461</v>
      </c>
      <c r="AD208" t="s">
        <v>585</v>
      </c>
    </row>
    <row r="209" spans="1:30" x14ac:dyDescent="0.35">
      <c r="A209" t="s">
        <v>30</v>
      </c>
      <c r="B209">
        <v>2018</v>
      </c>
      <c r="C209" t="s">
        <v>207</v>
      </c>
      <c r="D209" t="s">
        <v>538</v>
      </c>
      <c r="E209" t="s">
        <v>700</v>
      </c>
      <c r="F209" t="s">
        <v>552</v>
      </c>
      <c r="G209" t="s">
        <v>618</v>
      </c>
      <c r="H209" t="s">
        <v>253</v>
      </c>
      <c r="I209" t="s">
        <v>639</v>
      </c>
      <c r="J209" t="s">
        <v>700</v>
      </c>
      <c r="K209" t="s">
        <v>280</v>
      </c>
      <c r="L209" t="s">
        <v>144</v>
      </c>
      <c r="M209" t="s">
        <v>509</v>
      </c>
      <c r="N209" t="s">
        <v>552</v>
      </c>
      <c r="O209" t="s">
        <v>478</v>
      </c>
      <c r="P209" t="s">
        <v>585</v>
      </c>
      <c r="Q209" t="s">
        <v>355</v>
      </c>
      <c r="R209" t="s">
        <v>600</v>
      </c>
      <c r="S209" t="s">
        <v>639</v>
      </c>
      <c r="T209" t="s">
        <v>661</v>
      </c>
      <c r="U209" t="s">
        <v>48</v>
      </c>
      <c r="V209" t="s">
        <v>718</v>
      </c>
      <c r="W209" t="s">
        <v>637</v>
      </c>
      <c r="X209" t="s">
        <v>250</v>
      </c>
      <c r="Y209" t="s">
        <v>405</v>
      </c>
      <c r="Z209" t="s">
        <v>501</v>
      </c>
      <c r="AA209" t="s">
        <v>635</v>
      </c>
      <c r="AB209" t="s">
        <v>377</v>
      </c>
      <c r="AC209" t="s">
        <v>578</v>
      </c>
      <c r="AD209" t="s">
        <v>553</v>
      </c>
    </row>
    <row r="210" spans="1:30" x14ac:dyDescent="0.35">
      <c r="A210" t="s">
        <v>54</v>
      </c>
      <c r="B210">
        <v>2018</v>
      </c>
      <c r="C210" t="s">
        <v>207</v>
      </c>
      <c r="D210" t="s">
        <v>486</v>
      </c>
      <c r="E210" t="s">
        <v>625</v>
      </c>
      <c r="F210" t="s">
        <v>549</v>
      </c>
      <c r="G210" t="s">
        <v>510</v>
      </c>
      <c r="H210" t="s">
        <v>148</v>
      </c>
      <c r="I210" t="s">
        <v>509</v>
      </c>
      <c r="J210" t="s">
        <v>729</v>
      </c>
      <c r="K210" t="s">
        <v>115</v>
      </c>
      <c r="L210" t="s">
        <v>101</v>
      </c>
      <c r="M210" t="s">
        <v>612</v>
      </c>
      <c r="N210" t="s">
        <v>371</v>
      </c>
      <c r="O210" t="s">
        <v>359</v>
      </c>
      <c r="P210" t="s">
        <v>636</v>
      </c>
      <c r="Q210" t="s">
        <v>732</v>
      </c>
      <c r="R210" t="s">
        <v>510</v>
      </c>
      <c r="S210" t="s">
        <v>342</v>
      </c>
      <c r="T210" t="s">
        <v>521</v>
      </c>
      <c r="U210" t="s">
        <v>632</v>
      </c>
      <c r="V210" t="s">
        <v>518</v>
      </c>
      <c r="W210" t="s">
        <v>493</v>
      </c>
      <c r="X210" t="s">
        <v>613</v>
      </c>
      <c r="Y210" t="s">
        <v>317</v>
      </c>
      <c r="Z210" t="s">
        <v>513</v>
      </c>
      <c r="AA210" t="s">
        <v>492</v>
      </c>
      <c r="AB210" t="s">
        <v>375</v>
      </c>
      <c r="AC210" t="s">
        <v>410</v>
      </c>
      <c r="AD210" t="s">
        <v>185</v>
      </c>
    </row>
    <row r="211" spans="1:30" x14ac:dyDescent="0.35">
      <c r="A211" t="s">
        <v>73</v>
      </c>
      <c r="B211">
        <v>2018</v>
      </c>
      <c r="C211" t="s">
        <v>207</v>
      </c>
      <c r="D211" t="s">
        <v>429</v>
      </c>
      <c r="E211" t="s">
        <v>438</v>
      </c>
      <c r="F211" t="s">
        <v>619</v>
      </c>
      <c r="G211" t="s">
        <v>618</v>
      </c>
      <c r="H211" t="s">
        <v>299</v>
      </c>
      <c r="I211" t="s">
        <v>642</v>
      </c>
      <c r="J211" t="s">
        <v>424</v>
      </c>
      <c r="K211" t="s">
        <v>201</v>
      </c>
      <c r="L211" t="s">
        <v>178</v>
      </c>
      <c r="M211" t="s">
        <v>369</v>
      </c>
      <c r="N211" t="s">
        <v>490</v>
      </c>
      <c r="O211" t="s">
        <v>663</v>
      </c>
      <c r="P211" t="s">
        <v>521</v>
      </c>
      <c r="Q211" t="s">
        <v>677</v>
      </c>
      <c r="R211" t="s">
        <v>635</v>
      </c>
      <c r="S211" t="s">
        <v>558</v>
      </c>
      <c r="T211" t="s">
        <v>660</v>
      </c>
      <c r="U211" t="s">
        <v>728</v>
      </c>
      <c r="V211" t="s">
        <v>608</v>
      </c>
      <c r="W211" t="s">
        <v>553</v>
      </c>
      <c r="X211" t="s">
        <v>455</v>
      </c>
      <c r="Y211" t="s">
        <v>287</v>
      </c>
      <c r="Z211" t="s">
        <v>534</v>
      </c>
      <c r="AA211" t="s">
        <v>662</v>
      </c>
      <c r="AB211" t="s">
        <v>465</v>
      </c>
      <c r="AC211" t="s">
        <v>528</v>
      </c>
      <c r="AD211" t="s">
        <v>433</v>
      </c>
    </row>
    <row r="212" spans="1:30" x14ac:dyDescent="0.35">
      <c r="A212" t="s">
        <v>30</v>
      </c>
      <c r="B212">
        <v>2018</v>
      </c>
      <c r="C212" t="s">
        <v>233</v>
      </c>
      <c r="D212" t="s">
        <v>485</v>
      </c>
      <c r="E212" t="s">
        <v>671</v>
      </c>
      <c r="F212" t="s">
        <v>544</v>
      </c>
      <c r="G212" t="s">
        <v>618</v>
      </c>
      <c r="H212" t="s">
        <v>327</v>
      </c>
      <c r="I212" t="s">
        <v>560</v>
      </c>
      <c r="J212" t="s">
        <v>637</v>
      </c>
      <c r="K212" t="s">
        <v>285</v>
      </c>
      <c r="L212" t="s">
        <v>133</v>
      </c>
      <c r="M212" t="s">
        <v>531</v>
      </c>
      <c r="N212" t="s">
        <v>310</v>
      </c>
      <c r="O212" t="s">
        <v>705</v>
      </c>
      <c r="P212" t="s">
        <v>179</v>
      </c>
      <c r="Q212" t="s">
        <v>733</v>
      </c>
      <c r="R212" t="s">
        <v>693</v>
      </c>
      <c r="S212" t="s">
        <v>492</v>
      </c>
      <c r="T212" t="s">
        <v>671</v>
      </c>
      <c r="U212" t="s">
        <v>48</v>
      </c>
      <c r="V212" t="s">
        <v>673</v>
      </c>
      <c r="W212" t="s">
        <v>635</v>
      </c>
      <c r="X212" t="s">
        <v>254</v>
      </c>
      <c r="Y212" t="s">
        <v>453</v>
      </c>
      <c r="Z212" t="s">
        <v>615</v>
      </c>
      <c r="AA212" t="s">
        <v>734</v>
      </c>
      <c r="AB212" t="s">
        <v>440</v>
      </c>
      <c r="AC212" t="s">
        <v>501</v>
      </c>
      <c r="AD212" t="s">
        <v>603</v>
      </c>
    </row>
    <row r="213" spans="1:30" x14ac:dyDescent="0.35">
      <c r="A213" t="s">
        <v>54</v>
      </c>
      <c r="B213">
        <v>2018</v>
      </c>
      <c r="C213" t="s">
        <v>233</v>
      </c>
      <c r="D213" t="s">
        <v>535</v>
      </c>
      <c r="E213" t="s">
        <v>632</v>
      </c>
      <c r="F213" t="s">
        <v>581</v>
      </c>
      <c r="G213" t="s">
        <v>626</v>
      </c>
      <c r="H213" t="s">
        <v>214</v>
      </c>
      <c r="I213" t="s">
        <v>510</v>
      </c>
      <c r="J213" t="s">
        <v>666</v>
      </c>
      <c r="K213" t="s">
        <v>268</v>
      </c>
      <c r="L213" t="s">
        <v>153</v>
      </c>
      <c r="M213" t="s">
        <v>708</v>
      </c>
      <c r="N213" t="s">
        <v>379</v>
      </c>
      <c r="O213" t="s">
        <v>735</v>
      </c>
      <c r="P213" t="s">
        <v>428</v>
      </c>
      <c r="Q213" t="s">
        <v>736</v>
      </c>
      <c r="R213" t="s">
        <v>603</v>
      </c>
      <c r="S213" t="s">
        <v>524</v>
      </c>
      <c r="T213" t="s">
        <v>372</v>
      </c>
      <c r="U213" t="s">
        <v>728</v>
      </c>
      <c r="V213" t="s">
        <v>544</v>
      </c>
      <c r="W213" t="s">
        <v>471</v>
      </c>
      <c r="X213" t="s">
        <v>539</v>
      </c>
      <c r="Y213" t="s">
        <v>258</v>
      </c>
      <c r="Z213" t="s">
        <v>406</v>
      </c>
      <c r="AA213" t="s">
        <v>665</v>
      </c>
      <c r="AB213" t="s">
        <v>418</v>
      </c>
      <c r="AC213" t="s">
        <v>482</v>
      </c>
      <c r="AD213" t="s">
        <v>638</v>
      </c>
    </row>
    <row r="214" spans="1:30" x14ac:dyDescent="0.35">
      <c r="A214" t="s">
        <v>73</v>
      </c>
      <c r="B214">
        <v>2018</v>
      </c>
      <c r="C214" t="s">
        <v>233</v>
      </c>
      <c r="D214" t="s">
        <v>429</v>
      </c>
      <c r="E214" t="s">
        <v>601</v>
      </c>
      <c r="F214" t="s">
        <v>485</v>
      </c>
      <c r="G214" t="s">
        <v>545</v>
      </c>
      <c r="H214" t="s">
        <v>299</v>
      </c>
      <c r="I214" t="s">
        <v>563</v>
      </c>
      <c r="J214" t="s">
        <v>424</v>
      </c>
      <c r="K214" t="s">
        <v>201</v>
      </c>
      <c r="L214" t="s">
        <v>178</v>
      </c>
      <c r="M214" t="s">
        <v>604</v>
      </c>
      <c r="N214" t="s">
        <v>549</v>
      </c>
      <c r="O214" t="s">
        <v>663</v>
      </c>
      <c r="P214" t="s">
        <v>521</v>
      </c>
      <c r="Q214" t="s">
        <v>677</v>
      </c>
      <c r="R214" t="s">
        <v>635</v>
      </c>
      <c r="S214" t="s">
        <v>428</v>
      </c>
      <c r="T214" t="s">
        <v>424</v>
      </c>
      <c r="U214" t="s">
        <v>728</v>
      </c>
      <c r="V214" t="s">
        <v>441</v>
      </c>
      <c r="W214" t="s">
        <v>553</v>
      </c>
      <c r="X214" t="s">
        <v>455</v>
      </c>
      <c r="Y214" t="s">
        <v>287</v>
      </c>
      <c r="Z214" t="s">
        <v>534</v>
      </c>
      <c r="AA214" t="s">
        <v>662</v>
      </c>
      <c r="AB214" t="s">
        <v>465</v>
      </c>
      <c r="AC214" t="s">
        <v>528</v>
      </c>
      <c r="AD214" t="s">
        <v>433</v>
      </c>
    </row>
    <row r="215" spans="1:30" x14ac:dyDescent="0.35">
      <c r="A215" t="s">
        <v>30</v>
      </c>
      <c r="B215">
        <v>2018</v>
      </c>
      <c r="C215" t="s">
        <v>242</v>
      </c>
      <c r="D215" t="s">
        <v>485</v>
      </c>
      <c r="E215" t="s">
        <v>737</v>
      </c>
      <c r="F215" t="s">
        <v>429</v>
      </c>
      <c r="G215" t="s">
        <v>603</v>
      </c>
      <c r="H215" t="s">
        <v>345</v>
      </c>
      <c r="I215" t="s">
        <v>585</v>
      </c>
      <c r="J215" t="s">
        <v>575</v>
      </c>
      <c r="K215" t="s">
        <v>291</v>
      </c>
      <c r="L215" t="s">
        <v>109</v>
      </c>
      <c r="M215" t="s">
        <v>585</v>
      </c>
      <c r="N215" t="s">
        <v>581</v>
      </c>
      <c r="O215" t="s">
        <v>448</v>
      </c>
      <c r="P215" t="s">
        <v>568</v>
      </c>
      <c r="Q215" t="s">
        <v>738</v>
      </c>
      <c r="R215" t="s">
        <v>678</v>
      </c>
      <c r="S215" t="s">
        <v>686</v>
      </c>
      <c r="T215" t="s">
        <v>671</v>
      </c>
      <c r="U215" t="s">
        <v>48</v>
      </c>
      <c r="V215" t="s">
        <v>494</v>
      </c>
      <c r="W215" t="s">
        <v>438</v>
      </c>
      <c r="X215" t="s">
        <v>697</v>
      </c>
      <c r="Y215" t="s">
        <v>335</v>
      </c>
      <c r="Z215" t="s">
        <v>689</v>
      </c>
      <c r="AA215" t="s">
        <v>606</v>
      </c>
      <c r="AB215" t="s">
        <v>421</v>
      </c>
      <c r="AC215" t="s">
        <v>626</v>
      </c>
      <c r="AD215" t="s">
        <v>618</v>
      </c>
    </row>
    <row r="216" spans="1:30" x14ac:dyDescent="0.35">
      <c r="A216" t="s">
        <v>54</v>
      </c>
      <c r="B216">
        <v>2018</v>
      </c>
      <c r="C216" t="s">
        <v>242</v>
      </c>
      <c r="D216" t="s">
        <v>568</v>
      </c>
      <c r="E216" t="s">
        <v>662</v>
      </c>
      <c r="F216" t="s">
        <v>612</v>
      </c>
      <c r="G216" t="s">
        <v>626</v>
      </c>
      <c r="H216" t="s">
        <v>214</v>
      </c>
      <c r="I216" t="s">
        <v>568</v>
      </c>
      <c r="J216" t="s">
        <v>481</v>
      </c>
      <c r="K216" t="s">
        <v>173</v>
      </c>
      <c r="L216" t="s">
        <v>149</v>
      </c>
      <c r="M216" t="s">
        <v>510</v>
      </c>
      <c r="N216" t="s">
        <v>391</v>
      </c>
      <c r="O216" t="s">
        <v>596</v>
      </c>
      <c r="P216" t="s">
        <v>486</v>
      </c>
      <c r="Q216" t="s">
        <v>483</v>
      </c>
      <c r="R216" t="s">
        <v>565</v>
      </c>
      <c r="S216" t="s">
        <v>453</v>
      </c>
      <c r="T216" t="s">
        <v>433</v>
      </c>
      <c r="U216" t="s">
        <v>645</v>
      </c>
      <c r="V216" t="s">
        <v>481</v>
      </c>
      <c r="W216" t="s">
        <v>613</v>
      </c>
      <c r="X216" t="s">
        <v>619</v>
      </c>
      <c r="Y216" t="s">
        <v>263</v>
      </c>
      <c r="Z216" t="s">
        <v>435</v>
      </c>
      <c r="AA216" t="s">
        <v>645</v>
      </c>
      <c r="AB216" t="s">
        <v>405</v>
      </c>
      <c r="AC216" t="s">
        <v>435</v>
      </c>
      <c r="AD216" t="s">
        <v>572</v>
      </c>
    </row>
    <row r="217" spans="1:30" x14ac:dyDescent="0.35">
      <c r="A217" t="s">
        <v>73</v>
      </c>
      <c r="B217">
        <v>2018</v>
      </c>
      <c r="C217" t="s">
        <v>242</v>
      </c>
      <c r="D217" t="s">
        <v>310</v>
      </c>
      <c r="E217" t="s">
        <v>654</v>
      </c>
      <c r="F217" t="s">
        <v>583</v>
      </c>
      <c r="G217" t="s">
        <v>455</v>
      </c>
      <c r="H217" t="s">
        <v>259</v>
      </c>
      <c r="I217" t="s">
        <v>636</v>
      </c>
      <c r="J217" t="s">
        <v>422</v>
      </c>
      <c r="K217" t="s">
        <v>210</v>
      </c>
      <c r="L217" t="s">
        <v>164</v>
      </c>
      <c r="M217" t="s">
        <v>531</v>
      </c>
      <c r="N217" t="s">
        <v>434</v>
      </c>
      <c r="O217" t="s">
        <v>676</v>
      </c>
      <c r="P217" t="s">
        <v>498</v>
      </c>
      <c r="Q217" t="s">
        <v>739</v>
      </c>
      <c r="R217" t="s">
        <v>425</v>
      </c>
      <c r="S217" t="s">
        <v>636</v>
      </c>
      <c r="T217" t="s">
        <v>660</v>
      </c>
      <c r="U217" t="s">
        <v>645</v>
      </c>
      <c r="V217" t="s">
        <v>565</v>
      </c>
      <c r="W217" t="s">
        <v>634</v>
      </c>
      <c r="X217" t="s">
        <v>625</v>
      </c>
      <c r="Y217" t="s">
        <v>374</v>
      </c>
      <c r="Z217" t="s">
        <v>539</v>
      </c>
      <c r="AA217" t="s">
        <v>316</v>
      </c>
      <c r="AB217" t="s">
        <v>482</v>
      </c>
      <c r="AC217" t="s">
        <v>539</v>
      </c>
      <c r="AD217" t="s">
        <v>501</v>
      </c>
    </row>
    <row r="218" spans="1:30" x14ac:dyDescent="0.35">
      <c r="A218" t="s">
        <v>30</v>
      </c>
      <c r="B218">
        <v>2019</v>
      </c>
      <c r="C218" t="s">
        <v>31</v>
      </c>
      <c r="D218" t="s">
        <v>575</v>
      </c>
      <c r="E218" t="s">
        <v>556</v>
      </c>
      <c r="F218" t="s">
        <v>498</v>
      </c>
      <c r="G218" t="s">
        <v>603</v>
      </c>
      <c r="H218" t="s">
        <v>257</v>
      </c>
      <c r="I218" t="s">
        <v>537</v>
      </c>
      <c r="J218" t="s">
        <v>435</v>
      </c>
      <c r="K218" t="s">
        <v>344</v>
      </c>
      <c r="L218" t="s">
        <v>74</v>
      </c>
      <c r="M218" t="s">
        <v>185</v>
      </c>
      <c r="N218" t="s">
        <v>526</v>
      </c>
      <c r="O218" t="s">
        <v>740</v>
      </c>
      <c r="P218" t="s">
        <v>429</v>
      </c>
      <c r="Q218" t="s">
        <v>536</v>
      </c>
      <c r="R218" t="s">
        <v>722</v>
      </c>
      <c r="S218" t="s">
        <v>441</v>
      </c>
      <c r="T218" t="s">
        <v>741</v>
      </c>
      <c r="U218" t="s">
        <v>48</v>
      </c>
      <c r="V218" t="s">
        <v>644</v>
      </c>
      <c r="W218" t="s">
        <v>316</v>
      </c>
      <c r="X218" t="s">
        <v>697</v>
      </c>
      <c r="Y218" t="s">
        <v>367</v>
      </c>
      <c r="Z218" t="s">
        <v>579</v>
      </c>
      <c r="AA218" t="s">
        <v>478</v>
      </c>
      <c r="AB218" t="s">
        <v>549</v>
      </c>
      <c r="AC218" t="s">
        <v>730</v>
      </c>
      <c r="AD218" t="s">
        <v>369</v>
      </c>
    </row>
    <row r="219" spans="1:30" x14ac:dyDescent="0.35">
      <c r="A219" t="s">
        <v>54</v>
      </c>
      <c r="B219">
        <v>2019</v>
      </c>
      <c r="C219" t="s">
        <v>31</v>
      </c>
      <c r="D219" t="s">
        <v>547</v>
      </c>
      <c r="E219" t="s">
        <v>692</v>
      </c>
      <c r="F219" t="s">
        <v>651</v>
      </c>
      <c r="G219" t="s">
        <v>730</v>
      </c>
      <c r="H219" t="s">
        <v>214</v>
      </c>
      <c r="I219" t="s">
        <v>422</v>
      </c>
      <c r="J219" t="s">
        <v>418</v>
      </c>
      <c r="K219" t="s">
        <v>289</v>
      </c>
      <c r="L219" t="s">
        <v>100</v>
      </c>
      <c r="M219" t="s">
        <v>541</v>
      </c>
      <c r="N219" t="s">
        <v>391</v>
      </c>
      <c r="O219" t="s">
        <v>362</v>
      </c>
      <c r="P219" t="s">
        <v>619</v>
      </c>
      <c r="Q219" t="s">
        <v>742</v>
      </c>
      <c r="R219" t="s">
        <v>667</v>
      </c>
      <c r="S219" t="s">
        <v>375</v>
      </c>
      <c r="T219" t="s">
        <v>612</v>
      </c>
      <c r="U219" t="s">
        <v>649</v>
      </c>
      <c r="V219" t="s">
        <v>367</v>
      </c>
      <c r="W219" t="s">
        <v>528</v>
      </c>
      <c r="X219" t="s">
        <v>581</v>
      </c>
      <c r="Y219" t="s">
        <v>200</v>
      </c>
      <c r="Z219" t="s">
        <v>423</v>
      </c>
      <c r="AA219" t="s">
        <v>713</v>
      </c>
      <c r="AB219" t="s">
        <v>435</v>
      </c>
      <c r="AC219" t="s">
        <v>389</v>
      </c>
      <c r="AD219" t="s">
        <v>572</v>
      </c>
    </row>
    <row r="220" spans="1:30" x14ac:dyDescent="0.35">
      <c r="A220" t="s">
        <v>73</v>
      </c>
      <c r="B220">
        <v>2019</v>
      </c>
      <c r="C220" t="s">
        <v>31</v>
      </c>
      <c r="D220" t="s">
        <v>485</v>
      </c>
      <c r="E220" t="s">
        <v>550</v>
      </c>
      <c r="F220" t="s">
        <v>585</v>
      </c>
      <c r="G220" t="s">
        <v>455</v>
      </c>
      <c r="H220" t="s">
        <v>326</v>
      </c>
      <c r="I220" t="s">
        <v>530</v>
      </c>
      <c r="J220" t="s">
        <v>406</v>
      </c>
      <c r="K220" t="s">
        <v>293</v>
      </c>
      <c r="L220" t="s">
        <v>56</v>
      </c>
      <c r="M220" t="s">
        <v>636</v>
      </c>
      <c r="N220" t="s">
        <v>432</v>
      </c>
      <c r="O220" t="s">
        <v>676</v>
      </c>
      <c r="P220" t="s">
        <v>429</v>
      </c>
      <c r="Q220" t="s">
        <v>687</v>
      </c>
      <c r="R220" t="s">
        <v>700</v>
      </c>
      <c r="S220" t="s">
        <v>638</v>
      </c>
      <c r="T220" t="s">
        <v>720</v>
      </c>
      <c r="U220" t="s">
        <v>649</v>
      </c>
      <c r="V220" t="s">
        <v>509</v>
      </c>
      <c r="W220" t="s">
        <v>156</v>
      </c>
      <c r="X220" t="s">
        <v>441</v>
      </c>
      <c r="Y220" t="s">
        <v>317</v>
      </c>
      <c r="Z220" t="s">
        <v>544</v>
      </c>
      <c r="AA220" t="s">
        <v>734</v>
      </c>
      <c r="AB220" t="s">
        <v>427</v>
      </c>
      <c r="AC220" t="s">
        <v>564</v>
      </c>
      <c r="AD220" t="s">
        <v>605</v>
      </c>
    </row>
    <row r="221" spans="1:30" x14ac:dyDescent="0.35">
      <c r="A221" t="s">
        <v>30</v>
      </c>
      <c r="B221">
        <v>2019</v>
      </c>
      <c r="C221" t="s">
        <v>85</v>
      </c>
      <c r="D221" t="s">
        <v>539</v>
      </c>
      <c r="E221" t="s">
        <v>729</v>
      </c>
      <c r="F221" t="s">
        <v>428</v>
      </c>
      <c r="G221" t="s">
        <v>642</v>
      </c>
      <c r="H221" t="s">
        <v>264</v>
      </c>
      <c r="I221" t="s">
        <v>471</v>
      </c>
      <c r="J221" t="s">
        <v>403</v>
      </c>
      <c r="K221" t="s">
        <v>281</v>
      </c>
      <c r="L221" t="s">
        <v>104</v>
      </c>
      <c r="M221" t="s">
        <v>558</v>
      </c>
      <c r="N221" t="s">
        <v>429</v>
      </c>
      <c r="O221" t="s">
        <v>682</v>
      </c>
      <c r="P221" t="s">
        <v>559</v>
      </c>
      <c r="Q221" t="s">
        <v>514</v>
      </c>
      <c r="R221" t="s">
        <v>654</v>
      </c>
      <c r="S221" t="s">
        <v>665</v>
      </c>
      <c r="T221" t="s">
        <v>741</v>
      </c>
      <c r="U221" t="s">
        <v>48</v>
      </c>
      <c r="V221" t="s">
        <v>608</v>
      </c>
      <c r="W221" t="s">
        <v>316</v>
      </c>
      <c r="X221" t="s">
        <v>741</v>
      </c>
      <c r="Y221" t="s">
        <v>165</v>
      </c>
      <c r="Z221" t="s">
        <v>659</v>
      </c>
      <c r="AA221" t="s">
        <v>743</v>
      </c>
      <c r="AB221" t="s">
        <v>588</v>
      </c>
      <c r="AC221" t="s">
        <v>553</v>
      </c>
      <c r="AD221" t="s">
        <v>369</v>
      </c>
    </row>
    <row r="222" spans="1:30" x14ac:dyDescent="0.35">
      <c r="A222" t="s">
        <v>54</v>
      </c>
      <c r="B222">
        <v>2019</v>
      </c>
      <c r="C222" t="s">
        <v>85</v>
      </c>
      <c r="D222" t="s">
        <v>636</v>
      </c>
      <c r="E222" t="s">
        <v>316</v>
      </c>
      <c r="F222" t="s">
        <v>608</v>
      </c>
      <c r="G222" t="s">
        <v>730</v>
      </c>
      <c r="H222" t="s">
        <v>243</v>
      </c>
      <c r="I222" t="s">
        <v>526</v>
      </c>
      <c r="J222" t="s">
        <v>491</v>
      </c>
      <c r="K222" t="s">
        <v>272</v>
      </c>
      <c r="L222" t="s">
        <v>100</v>
      </c>
      <c r="M222" t="s">
        <v>433</v>
      </c>
      <c r="N222" t="s">
        <v>312</v>
      </c>
      <c r="O222" t="s">
        <v>437</v>
      </c>
      <c r="P222" t="s">
        <v>572</v>
      </c>
      <c r="Q222" t="s">
        <v>209</v>
      </c>
      <c r="R222" t="s">
        <v>689</v>
      </c>
      <c r="S222" t="s">
        <v>405</v>
      </c>
      <c r="T222" t="s">
        <v>708</v>
      </c>
      <c r="U222" t="s">
        <v>744</v>
      </c>
      <c r="V222" t="s">
        <v>323</v>
      </c>
      <c r="W222" t="s">
        <v>575</v>
      </c>
      <c r="X222" t="s">
        <v>568</v>
      </c>
      <c r="Y222" t="s">
        <v>169</v>
      </c>
      <c r="Z222" t="s">
        <v>482</v>
      </c>
      <c r="AA222" t="s">
        <v>713</v>
      </c>
      <c r="AB222" t="s">
        <v>382</v>
      </c>
      <c r="AC222" t="s">
        <v>481</v>
      </c>
      <c r="AD222" t="s">
        <v>497</v>
      </c>
    </row>
    <row r="223" spans="1:30" x14ac:dyDescent="0.35">
      <c r="A223" t="s">
        <v>73</v>
      </c>
      <c r="B223">
        <v>2019</v>
      </c>
      <c r="C223" t="s">
        <v>85</v>
      </c>
      <c r="D223" t="s">
        <v>486</v>
      </c>
      <c r="E223" t="s">
        <v>359</v>
      </c>
      <c r="F223" t="s">
        <v>510</v>
      </c>
      <c r="G223" t="s">
        <v>553</v>
      </c>
      <c r="H223" t="s">
        <v>259</v>
      </c>
      <c r="I223" t="s">
        <v>516</v>
      </c>
      <c r="J223" t="s">
        <v>328</v>
      </c>
      <c r="K223" t="s">
        <v>285</v>
      </c>
      <c r="L223" t="s">
        <v>96</v>
      </c>
      <c r="M223" t="s">
        <v>521</v>
      </c>
      <c r="N223" t="s">
        <v>490</v>
      </c>
      <c r="O223" t="s">
        <v>698</v>
      </c>
      <c r="P223" t="s">
        <v>310</v>
      </c>
      <c r="Q223" t="s">
        <v>745</v>
      </c>
      <c r="R223" t="s">
        <v>649</v>
      </c>
      <c r="S223" t="s">
        <v>521</v>
      </c>
      <c r="T223" t="s">
        <v>645</v>
      </c>
      <c r="U223" t="s">
        <v>744</v>
      </c>
      <c r="V223" t="s">
        <v>584</v>
      </c>
      <c r="W223" t="s">
        <v>631</v>
      </c>
      <c r="X223" t="s">
        <v>627</v>
      </c>
      <c r="Y223" t="s">
        <v>257</v>
      </c>
      <c r="Z223" t="s">
        <v>485</v>
      </c>
      <c r="AA223" t="s">
        <v>673</v>
      </c>
      <c r="AB223" t="s">
        <v>412</v>
      </c>
      <c r="AC223" t="s">
        <v>429</v>
      </c>
      <c r="AD223" t="s">
        <v>571</v>
      </c>
    </row>
    <row r="224" spans="1:30" x14ac:dyDescent="0.35">
      <c r="A224" t="s">
        <v>30</v>
      </c>
      <c r="B224">
        <v>2019</v>
      </c>
      <c r="C224" t="s">
        <v>107</v>
      </c>
      <c r="D224" t="s">
        <v>564</v>
      </c>
      <c r="E224" t="s">
        <v>716</v>
      </c>
      <c r="F224" t="s">
        <v>567</v>
      </c>
      <c r="G224" t="s">
        <v>642</v>
      </c>
      <c r="H224" t="s">
        <v>264</v>
      </c>
      <c r="I224" t="s">
        <v>599</v>
      </c>
      <c r="J224" t="s">
        <v>385</v>
      </c>
      <c r="K224" t="s">
        <v>341</v>
      </c>
      <c r="L224" t="s">
        <v>104</v>
      </c>
      <c r="M224" t="s">
        <v>185</v>
      </c>
      <c r="N224" t="s">
        <v>429</v>
      </c>
      <c r="O224" t="s">
        <v>703</v>
      </c>
      <c r="P224" t="s">
        <v>619</v>
      </c>
      <c r="Q224" t="s">
        <v>656</v>
      </c>
      <c r="R224" t="s">
        <v>671</v>
      </c>
      <c r="S224" t="s">
        <v>665</v>
      </c>
      <c r="T224" t="s">
        <v>316</v>
      </c>
      <c r="U224" t="s">
        <v>48</v>
      </c>
      <c r="V224" t="s">
        <v>720</v>
      </c>
      <c r="W224" t="s">
        <v>463</v>
      </c>
      <c r="X224" t="s">
        <v>701</v>
      </c>
      <c r="Y224" t="s">
        <v>260</v>
      </c>
      <c r="Z224" t="s">
        <v>629</v>
      </c>
      <c r="AA224" t="s">
        <v>743</v>
      </c>
      <c r="AB224" t="s">
        <v>489</v>
      </c>
      <c r="AC224" t="s">
        <v>603</v>
      </c>
      <c r="AD224" t="s">
        <v>580</v>
      </c>
    </row>
    <row r="225" spans="1:30" x14ac:dyDescent="0.35">
      <c r="A225" t="s">
        <v>54</v>
      </c>
      <c r="B225">
        <v>2019</v>
      </c>
      <c r="C225" t="s">
        <v>107</v>
      </c>
      <c r="D225" t="s">
        <v>521</v>
      </c>
      <c r="E225" t="s">
        <v>746</v>
      </c>
      <c r="F225" t="s">
        <v>579</v>
      </c>
      <c r="G225" t="s">
        <v>618</v>
      </c>
      <c r="H225" t="s">
        <v>243</v>
      </c>
      <c r="I225" t="s">
        <v>636</v>
      </c>
      <c r="J225" t="s">
        <v>580</v>
      </c>
      <c r="K225" t="s">
        <v>275</v>
      </c>
      <c r="L225" t="s">
        <v>100</v>
      </c>
      <c r="M225" t="s">
        <v>589</v>
      </c>
      <c r="N225" t="s">
        <v>249</v>
      </c>
      <c r="O225" t="s">
        <v>747</v>
      </c>
      <c r="P225" t="s">
        <v>605</v>
      </c>
      <c r="Q225" t="s">
        <v>475</v>
      </c>
      <c r="R225" t="s">
        <v>651</v>
      </c>
      <c r="S225" t="s">
        <v>309</v>
      </c>
      <c r="T225" t="s">
        <v>626</v>
      </c>
      <c r="U225" t="s">
        <v>494</v>
      </c>
      <c r="V225" t="s">
        <v>358</v>
      </c>
      <c r="W225" t="s">
        <v>539</v>
      </c>
      <c r="X225" t="s">
        <v>558</v>
      </c>
      <c r="Y225" t="s">
        <v>272</v>
      </c>
      <c r="Z225" t="s">
        <v>382</v>
      </c>
      <c r="AA225" t="s">
        <v>424</v>
      </c>
      <c r="AB225" t="s">
        <v>410</v>
      </c>
      <c r="AC225" t="s">
        <v>427</v>
      </c>
      <c r="AD225" t="s">
        <v>509</v>
      </c>
    </row>
    <row r="226" spans="1:30" x14ac:dyDescent="0.35">
      <c r="A226" t="s">
        <v>73</v>
      </c>
      <c r="B226">
        <v>2019</v>
      </c>
      <c r="C226" t="s">
        <v>107</v>
      </c>
      <c r="D226" t="s">
        <v>581</v>
      </c>
      <c r="E226" t="s">
        <v>729</v>
      </c>
      <c r="F226" t="s">
        <v>368</v>
      </c>
      <c r="G226" t="s">
        <v>623</v>
      </c>
      <c r="H226" t="s">
        <v>259</v>
      </c>
      <c r="I226" t="s">
        <v>486</v>
      </c>
      <c r="J226" t="s">
        <v>417</v>
      </c>
      <c r="K226" t="s">
        <v>326</v>
      </c>
      <c r="L226" t="s">
        <v>96</v>
      </c>
      <c r="M226" t="s">
        <v>509</v>
      </c>
      <c r="N226" t="s">
        <v>320</v>
      </c>
      <c r="O226" t="s">
        <v>478</v>
      </c>
      <c r="P226" t="s">
        <v>535</v>
      </c>
      <c r="Q226" t="s">
        <v>590</v>
      </c>
      <c r="R226" t="s">
        <v>690</v>
      </c>
      <c r="S226" t="s">
        <v>571</v>
      </c>
      <c r="T226" t="s">
        <v>424</v>
      </c>
      <c r="U226" t="s">
        <v>494</v>
      </c>
      <c r="V226" t="s">
        <v>521</v>
      </c>
      <c r="W226" t="s">
        <v>629</v>
      </c>
      <c r="X226" t="s">
        <v>644</v>
      </c>
      <c r="Y226" t="s">
        <v>354</v>
      </c>
      <c r="Z226" t="s">
        <v>555</v>
      </c>
      <c r="AA226" t="s">
        <v>673</v>
      </c>
      <c r="AB226" t="s">
        <v>518</v>
      </c>
      <c r="AC226" t="s">
        <v>555</v>
      </c>
      <c r="AD226" t="s">
        <v>541</v>
      </c>
    </row>
    <row r="227" spans="1:30" x14ac:dyDescent="0.35">
      <c r="A227" t="s">
        <v>30</v>
      </c>
      <c r="B227">
        <v>2019</v>
      </c>
      <c r="C227" t="s">
        <v>136</v>
      </c>
      <c r="D227" t="s">
        <v>429</v>
      </c>
      <c r="E227" t="s">
        <v>628</v>
      </c>
      <c r="F227" t="s">
        <v>500</v>
      </c>
      <c r="G227" t="s">
        <v>415</v>
      </c>
      <c r="H227" t="s">
        <v>357</v>
      </c>
      <c r="I227" t="s">
        <v>631</v>
      </c>
      <c r="J227" t="s">
        <v>518</v>
      </c>
      <c r="K227" t="s">
        <v>353</v>
      </c>
      <c r="L227" t="s">
        <v>145</v>
      </c>
      <c r="M227" t="s">
        <v>538</v>
      </c>
      <c r="N227" t="s">
        <v>555</v>
      </c>
      <c r="O227" t="s">
        <v>703</v>
      </c>
      <c r="P227" t="s">
        <v>558</v>
      </c>
      <c r="Q227" t="s">
        <v>731</v>
      </c>
      <c r="R227" t="s">
        <v>711</v>
      </c>
      <c r="S227" t="s">
        <v>713</v>
      </c>
      <c r="T227" t="s">
        <v>600</v>
      </c>
      <c r="U227" t="s">
        <v>48</v>
      </c>
      <c r="V227" t="s">
        <v>728</v>
      </c>
      <c r="W227" t="s">
        <v>438</v>
      </c>
      <c r="X227" t="s">
        <v>711</v>
      </c>
      <c r="Y227" t="s">
        <v>524</v>
      </c>
      <c r="Z227" t="s">
        <v>686</v>
      </c>
      <c r="AA227" t="s">
        <v>748</v>
      </c>
      <c r="AB227" t="s">
        <v>517</v>
      </c>
      <c r="AC227" t="s">
        <v>579</v>
      </c>
      <c r="AD227" t="s">
        <v>603</v>
      </c>
    </row>
    <row r="228" spans="1:30" x14ac:dyDescent="0.35">
      <c r="A228" t="s">
        <v>54</v>
      </c>
      <c r="B228">
        <v>2019</v>
      </c>
      <c r="C228" t="s">
        <v>136</v>
      </c>
      <c r="D228" t="s">
        <v>541</v>
      </c>
      <c r="E228" t="s">
        <v>748</v>
      </c>
      <c r="F228" t="s">
        <v>547</v>
      </c>
      <c r="G228" t="s">
        <v>603</v>
      </c>
      <c r="H228" t="s">
        <v>200</v>
      </c>
      <c r="I228" t="s">
        <v>718</v>
      </c>
      <c r="J228" t="s">
        <v>749</v>
      </c>
      <c r="K228" t="s">
        <v>337</v>
      </c>
      <c r="L228" t="s">
        <v>119</v>
      </c>
      <c r="M228" t="s">
        <v>369</v>
      </c>
      <c r="N228" t="s">
        <v>335</v>
      </c>
      <c r="O228" t="s">
        <v>663</v>
      </c>
      <c r="P228" t="s">
        <v>629</v>
      </c>
      <c r="Q228" t="s">
        <v>750</v>
      </c>
      <c r="R228" t="s">
        <v>451</v>
      </c>
      <c r="S228" t="s">
        <v>435</v>
      </c>
      <c r="T228" t="s">
        <v>553</v>
      </c>
      <c r="U228" t="s">
        <v>316</v>
      </c>
      <c r="V228" t="s">
        <v>384</v>
      </c>
      <c r="W228" t="s">
        <v>559</v>
      </c>
      <c r="X228" t="s">
        <v>578</v>
      </c>
      <c r="Y228" t="s">
        <v>152</v>
      </c>
      <c r="Z228" t="s">
        <v>489</v>
      </c>
      <c r="AA228" t="s">
        <v>635</v>
      </c>
      <c r="AB228" t="s">
        <v>417</v>
      </c>
      <c r="AC228" t="s">
        <v>432</v>
      </c>
      <c r="AD228" t="s">
        <v>510</v>
      </c>
    </row>
    <row r="229" spans="1:30" x14ac:dyDescent="0.35">
      <c r="A229" t="s">
        <v>73</v>
      </c>
      <c r="B229">
        <v>2019</v>
      </c>
      <c r="C229" t="s">
        <v>136</v>
      </c>
      <c r="D229" t="s">
        <v>547</v>
      </c>
      <c r="E229" t="s">
        <v>751</v>
      </c>
      <c r="F229" t="s">
        <v>548</v>
      </c>
      <c r="G229" t="s">
        <v>642</v>
      </c>
      <c r="H229" t="s">
        <v>259</v>
      </c>
      <c r="I229" t="s">
        <v>645</v>
      </c>
      <c r="J229" t="s">
        <v>667</v>
      </c>
      <c r="K229" t="s">
        <v>360</v>
      </c>
      <c r="L229" t="s">
        <v>109</v>
      </c>
      <c r="M229" t="s">
        <v>571</v>
      </c>
      <c r="N229" t="s">
        <v>489</v>
      </c>
      <c r="O229" t="s">
        <v>743</v>
      </c>
      <c r="P229" t="s">
        <v>604</v>
      </c>
      <c r="Q229" t="s">
        <v>752</v>
      </c>
      <c r="R229" t="s">
        <v>652</v>
      </c>
      <c r="S229" t="s">
        <v>541</v>
      </c>
      <c r="T229" t="s">
        <v>670</v>
      </c>
      <c r="U229" t="s">
        <v>316</v>
      </c>
      <c r="V229" t="s">
        <v>368</v>
      </c>
      <c r="W229" t="s">
        <v>631</v>
      </c>
      <c r="X229" t="s">
        <v>728</v>
      </c>
      <c r="Y229" t="s">
        <v>360</v>
      </c>
      <c r="Z229" t="s">
        <v>558</v>
      </c>
      <c r="AA229" t="s">
        <v>678</v>
      </c>
      <c r="AB229" t="s">
        <v>518</v>
      </c>
      <c r="AC229" t="s">
        <v>498</v>
      </c>
      <c r="AD229" t="s">
        <v>616</v>
      </c>
    </row>
    <row r="230" spans="1:30" x14ac:dyDescent="0.35">
      <c r="A230" t="s">
        <v>30</v>
      </c>
      <c r="B230">
        <v>2019</v>
      </c>
      <c r="C230" t="s">
        <v>146</v>
      </c>
      <c r="D230" t="s">
        <v>581</v>
      </c>
      <c r="E230" t="s">
        <v>590</v>
      </c>
      <c r="F230" t="s">
        <v>613</v>
      </c>
      <c r="G230" t="s">
        <v>634</v>
      </c>
      <c r="H230" t="s">
        <v>349</v>
      </c>
      <c r="I230" t="s">
        <v>689</v>
      </c>
      <c r="J230" t="s">
        <v>531</v>
      </c>
      <c r="K230" t="s">
        <v>403</v>
      </c>
      <c r="L230" t="s">
        <v>130</v>
      </c>
      <c r="M230" t="s">
        <v>541</v>
      </c>
      <c r="N230" t="s">
        <v>572</v>
      </c>
      <c r="O230" t="s">
        <v>669</v>
      </c>
      <c r="P230" t="s">
        <v>369</v>
      </c>
      <c r="Q230" t="s">
        <v>753</v>
      </c>
      <c r="R230" t="s">
        <v>550</v>
      </c>
      <c r="S230" t="s">
        <v>645</v>
      </c>
      <c r="T230" t="s">
        <v>600</v>
      </c>
      <c r="U230" t="s">
        <v>48</v>
      </c>
      <c r="V230" t="s">
        <v>662</v>
      </c>
      <c r="W230" t="s">
        <v>697</v>
      </c>
      <c r="X230" t="s">
        <v>693</v>
      </c>
      <c r="Y230" t="s">
        <v>524</v>
      </c>
      <c r="Z230" t="s">
        <v>720</v>
      </c>
      <c r="AA230" t="s">
        <v>324</v>
      </c>
      <c r="AB230" t="s">
        <v>542</v>
      </c>
      <c r="AC230" t="s">
        <v>689</v>
      </c>
      <c r="AD230" t="s">
        <v>156</v>
      </c>
    </row>
    <row r="231" spans="1:30" x14ac:dyDescent="0.35">
      <c r="A231" t="s">
        <v>54</v>
      </c>
      <c r="B231">
        <v>2019</v>
      </c>
      <c r="C231" t="s">
        <v>146</v>
      </c>
      <c r="D231" t="s">
        <v>589</v>
      </c>
      <c r="E231" t="s">
        <v>355</v>
      </c>
      <c r="F231" t="s">
        <v>541</v>
      </c>
      <c r="G231" t="s">
        <v>659</v>
      </c>
      <c r="H231" t="s">
        <v>200</v>
      </c>
      <c r="I231" t="s">
        <v>754</v>
      </c>
      <c r="J231" t="s">
        <v>755</v>
      </c>
      <c r="K231" t="s">
        <v>380</v>
      </c>
      <c r="L231" t="s">
        <v>229</v>
      </c>
      <c r="M231" t="s">
        <v>369</v>
      </c>
      <c r="N231" t="s">
        <v>446</v>
      </c>
      <c r="O231" t="s">
        <v>606</v>
      </c>
      <c r="P231" t="s">
        <v>627</v>
      </c>
      <c r="Q231" t="s">
        <v>756</v>
      </c>
      <c r="R231" t="s">
        <v>609</v>
      </c>
      <c r="S231" t="s">
        <v>435</v>
      </c>
      <c r="T231" t="s">
        <v>603</v>
      </c>
      <c r="U231" t="s">
        <v>692</v>
      </c>
      <c r="V231" t="s">
        <v>418</v>
      </c>
      <c r="W231" t="s">
        <v>429</v>
      </c>
      <c r="X231" t="s">
        <v>368</v>
      </c>
      <c r="Y231" t="s">
        <v>191</v>
      </c>
      <c r="Z231" t="s">
        <v>436</v>
      </c>
      <c r="AA231" t="s">
        <v>684</v>
      </c>
      <c r="AB231" t="s">
        <v>320</v>
      </c>
      <c r="AC231" t="s">
        <v>490</v>
      </c>
      <c r="AD231" t="s">
        <v>455</v>
      </c>
    </row>
    <row r="232" spans="1:30" x14ac:dyDescent="0.35">
      <c r="A232" t="s">
        <v>73</v>
      </c>
      <c r="B232">
        <v>2019</v>
      </c>
      <c r="C232" t="s">
        <v>146</v>
      </c>
      <c r="D232" t="s">
        <v>567</v>
      </c>
      <c r="E232" t="s">
        <v>350</v>
      </c>
      <c r="F232" t="s">
        <v>581</v>
      </c>
      <c r="G232" t="s">
        <v>689</v>
      </c>
      <c r="H232" t="s">
        <v>265</v>
      </c>
      <c r="I232" t="s">
        <v>660</v>
      </c>
      <c r="J232" t="s">
        <v>654</v>
      </c>
      <c r="K232" t="s">
        <v>312</v>
      </c>
      <c r="L232" t="s">
        <v>149</v>
      </c>
      <c r="M232" t="s">
        <v>531</v>
      </c>
      <c r="N232" t="s">
        <v>401</v>
      </c>
      <c r="O232" t="s">
        <v>724</v>
      </c>
      <c r="P232" t="s">
        <v>565</v>
      </c>
      <c r="Q232" t="s">
        <v>209</v>
      </c>
      <c r="R232" t="s">
        <v>647</v>
      </c>
      <c r="S232" t="s">
        <v>541</v>
      </c>
      <c r="T232" t="s">
        <v>650</v>
      </c>
      <c r="U232" t="s">
        <v>692</v>
      </c>
      <c r="V232" t="s">
        <v>580</v>
      </c>
      <c r="W232" t="s">
        <v>629</v>
      </c>
      <c r="X232" t="s">
        <v>650</v>
      </c>
      <c r="Y232" t="s">
        <v>354</v>
      </c>
      <c r="Z232" t="s">
        <v>605</v>
      </c>
      <c r="AA232" t="s">
        <v>556</v>
      </c>
      <c r="AB232" t="s">
        <v>436</v>
      </c>
      <c r="AC232" t="s">
        <v>497</v>
      </c>
      <c r="AD232" t="s">
        <v>579</v>
      </c>
    </row>
    <row r="233" spans="1:30" x14ac:dyDescent="0.35">
      <c r="A233" t="s">
        <v>30</v>
      </c>
      <c r="B233">
        <v>2019</v>
      </c>
      <c r="C233" t="s">
        <v>163</v>
      </c>
      <c r="D233" t="s">
        <v>584</v>
      </c>
      <c r="E233" t="s">
        <v>732</v>
      </c>
      <c r="F233" t="s">
        <v>584</v>
      </c>
      <c r="G233" t="s">
        <v>560</v>
      </c>
      <c r="H233" t="s">
        <v>337</v>
      </c>
      <c r="I233" t="s">
        <v>720</v>
      </c>
      <c r="J233" t="s">
        <v>316</v>
      </c>
      <c r="K233" t="s">
        <v>404</v>
      </c>
      <c r="L233" t="s">
        <v>184</v>
      </c>
      <c r="M233" t="s">
        <v>730</v>
      </c>
      <c r="N233" t="s">
        <v>568</v>
      </c>
      <c r="O233" t="s">
        <v>748</v>
      </c>
      <c r="P233" t="s">
        <v>667</v>
      </c>
      <c r="Q233" t="s">
        <v>757</v>
      </c>
      <c r="R233" t="s">
        <v>678</v>
      </c>
      <c r="S233" t="s">
        <v>713</v>
      </c>
      <c r="T233" t="s">
        <v>754</v>
      </c>
      <c r="U233" t="s">
        <v>48</v>
      </c>
      <c r="V233" t="s">
        <v>660</v>
      </c>
      <c r="W233" t="s">
        <v>463</v>
      </c>
      <c r="X233" t="s">
        <v>633</v>
      </c>
      <c r="Y233" t="s">
        <v>309</v>
      </c>
      <c r="Z233" t="s">
        <v>637</v>
      </c>
      <c r="AA233" t="s">
        <v>593</v>
      </c>
      <c r="AB233" t="s">
        <v>599</v>
      </c>
      <c r="AC233" t="s">
        <v>574</v>
      </c>
      <c r="AD233" t="s">
        <v>625</v>
      </c>
    </row>
    <row r="234" spans="1:30" x14ac:dyDescent="0.35">
      <c r="A234" t="s">
        <v>54</v>
      </c>
      <c r="B234">
        <v>2019</v>
      </c>
      <c r="C234" t="s">
        <v>163</v>
      </c>
      <c r="D234" t="s">
        <v>708</v>
      </c>
      <c r="E234" t="s">
        <v>758</v>
      </c>
      <c r="F234" t="s">
        <v>642</v>
      </c>
      <c r="G234" t="s">
        <v>506</v>
      </c>
      <c r="H234" t="s">
        <v>284</v>
      </c>
      <c r="I234" t="s">
        <v>691</v>
      </c>
      <c r="J234" t="s">
        <v>759</v>
      </c>
      <c r="K234" t="s">
        <v>335</v>
      </c>
      <c r="L234" t="s">
        <v>229</v>
      </c>
      <c r="M234" t="s">
        <v>626</v>
      </c>
      <c r="N234" t="s">
        <v>408</v>
      </c>
      <c r="O234" t="s">
        <v>760</v>
      </c>
      <c r="P234" t="s">
        <v>649</v>
      </c>
      <c r="Q234" t="s">
        <v>761</v>
      </c>
      <c r="R234" t="s">
        <v>715</v>
      </c>
      <c r="S234" t="s">
        <v>423</v>
      </c>
      <c r="T234" t="s">
        <v>565</v>
      </c>
      <c r="U234" t="s">
        <v>722</v>
      </c>
      <c r="V234" t="s">
        <v>297</v>
      </c>
      <c r="W234" t="s">
        <v>555</v>
      </c>
      <c r="X234" t="s">
        <v>433</v>
      </c>
      <c r="Y234" t="s">
        <v>314</v>
      </c>
      <c r="Z234" t="s">
        <v>527</v>
      </c>
      <c r="AA234" t="s">
        <v>701</v>
      </c>
      <c r="AB234" t="s">
        <v>493</v>
      </c>
      <c r="AC234" t="s">
        <v>500</v>
      </c>
      <c r="AD234" t="s">
        <v>689</v>
      </c>
    </row>
    <row r="235" spans="1:30" x14ac:dyDescent="0.35">
      <c r="A235" t="s">
        <v>73</v>
      </c>
      <c r="B235">
        <v>2019</v>
      </c>
      <c r="C235" t="s">
        <v>163</v>
      </c>
      <c r="D235" t="s">
        <v>538</v>
      </c>
      <c r="E235" t="s">
        <v>536</v>
      </c>
      <c r="F235" t="s">
        <v>179</v>
      </c>
      <c r="G235" t="s">
        <v>451</v>
      </c>
      <c r="H235" t="s">
        <v>230</v>
      </c>
      <c r="I235" t="s">
        <v>673</v>
      </c>
      <c r="J235" t="s">
        <v>712</v>
      </c>
      <c r="K235" t="s">
        <v>573</v>
      </c>
      <c r="L235" t="s">
        <v>143</v>
      </c>
      <c r="M235" t="s">
        <v>730</v>
      </c>
      <c r="N235" t="s">
        <v>461</v>
      </c>
      <c r="O235" t="s">
        <v>682</v>
      </c>
      <c r="P235" t="s">
        <v>715</v>
      </c>
      <c r="Q235" t="s">
        <v>762</v>
      </c>
      <c r="R235" t="s">
        <v>684</v>
      </c>
      <c r="S235" t="s">
        <v>372</v>
      </c>
      <c r="T235" t="s">
        <v>700</v>
      </c>
      <c r="U235" t="s">
        <v>722</v>
      </c>
      <c r="V235" t="s">
        <v>538</v>
      </c>
      <c r="W235" t="s">
        <v>574</v>
      </c>
      <c r="X235" t="s">
        <v>690</v>
      </c>
      <c r="Y235" t="s">
        <v>361</v>
      </c>
      <c r="Z235" t="s">
        <v>372</v>
      </c>
      <c r="AA235" t="s">
        <v>199</v>
      </c>
      <c r="AB235" t="s">
        <v>598</v>
      </c>
      <c r="AC235" t="s">
        <v>509</v>
      </c>
      <c r="AD235" t="s">
        <v>574</v>
      </c>
    </row>
    <row r="236" spans="1:30" x14ac:dyDescent="0.35">
      <c r="A236" t="s">
        <v>30</v>
      </c>
      <c r="B236">
        <v>2019</v>
      </c>
      <c r="C236" t="s">
        <v>182</v>
      </c>
      <c r="D236" t="s">
        <v>558</v>
      </c>
      <c r="E236" t="s">
        <v>733</v>
      </c>
      <c r="F236" t="s">
        <v>485</v>
      </c>
      <c r="G236" t="s">
        <v>592</v>
      </c>
      <c r="H236" t="s">
        <v>325</v>
      </c>
      <c r="I236" t="s">
        <v>492</v>
      </c>
      <c r="J236" t="s">
        <v>682</v>
      </c>
      <c r="K236" t="s">
        <v>431</v>
      </c>
      <c r="L236" t="s">
        <v>174</v>
      </c>
      <c r="M236" t="s">
        <v>565</v>
      </c>
      <c r="N236" t="s">
        <v>568</v>
      </c>
      <c r="O236" t="s">
        <v>586</v>
      </c>
      <c r="P236" t="s">
        <v>451</v>
      </c>
      <c r="Q236" t="s">
        <v>763</v>
      </c>
      <c r="R236" t="s">
        <v>194</v>
      </c>
      <c r="S236" t="s">
        <v>713</v>
      </c>
      <c r="T236" t="s">
        <v>746</v>
      </c>
      <c r="U236" t="s">
        <v>48</v>
      </c>
      <c r="V236" t="s">
        <v>720</v>
      </c>
      <c r="W236" t="s">
        <v>734</v>
      </c>
      <c r="X236" t="s">
        <v>764</v>
      </c>
      <c r="Y236" t="s">
        <v>396</v>
      </c>
      <c r="Z236" t="s">
        <v>635</v>
      </c>
      <c r="AA236" t="s">
        <v>566</v>
      </c>
      <c r="AB236" t="s">
        <v>583</v>
      </c>
      <c r="AC236" t="s">
        <v>625</v>
      </c>
      <c r="AD236" t="s">
        <v>245</v>
      </c>
    </row>
    <row r="237" spans="1:30" x14ac:dyDescent="0.35">
      <c r="A237" t="s">
        <v>54</v>
      </c>
      <c r="B237">
        <v>2019</v>
      </c>
      <c r="C237" t="s">
        <v>182</v>
      </c>
      <c r="D237" t="s">
        <v>455</v>
      </c>
      <c r="E237" t="s">
        <v>719</v>
      </c>
      <c r="F237" t="s">
        <v>433</v>
      </c>
      <c r="G237" t="s">
        <v>625</v>
      </c>
      <c r="H237" t="s">
        <v>272</v>
      </c>
      <c r="I237" t="s">
        <v>747</v>
      </c>
      <c r="J237" t="s">
        <v>765</v>
      </c>
      <c r="K237" t="s">
        <v>342</v>
      </c>
      <c r="L237" t="s">
        <v>188</v>
      </c>
      <c r="M237" t="s">
        <v>642</v>
      </c>
      <c r="N237" t="s">
        <v>342</v>
      </c>
      <c r="O237" t="s">
        <v>682</v>
      </c>
      <c r="P237" t="s">
        <v>706</v>
      </c>
      <c r="Q237" t="s">
        <v>620</v>
      </c>
      <c r="R237" t="s">
        <v>621</v>
      </c>
      <c r="S237" t="s">
        <v>482</v>
      </c>
      <c r="T237" t="s">
        <v>667</v>
      </c>
      <c r="U237" t="s">
        <v>678</v>
      </c>
      <c r="V237" t="s">
        <v>287</v>
      </c>
      <c r="W237" t="s">
        <v>535</v>
      </c>
      <c r="X237" t="s">
        <v>510</v>
      </c>
      <c r="Y237" t="s">
        <v>219</v>
      </c>
      <c r="Z237" t="s">
        <v>530</v>
      </c>
      <c r="AA237" t="s">
        <v>648</v>
      </c>
      <c r="AB237" t="s">
        <v>581</v>
      </c>
      <c r="AC237" t="s">
        <v>473</v>
      </c>
      <c r="AD237" t="s">
        <v>574</v>
      </c>
    </row>
    <row r="238" spans="1:30" x14ac:dyDescent="0.35">
      <c r="A238" t="s">
        <v>73</v>
      </c>
      <c r="B238">
        <v>2019</v>
      </c>
      <c r="C238" t="s">
        <v>182</v>
      </c>
      <c r="D238" t="s">
        <v>501</v>
      </c>
      <c r="E238" t="s">
        <v>766</v>
      </c>
      <c r="F238" t="s">
        <v>568</v>
      </c>
      <c r="G238" t="s">
        <v>715</v>
      </c>
      <c r="H238" t="s">
        <v>237</v>
      </c>
      <c r="I238" t="s">
        <v>692</v>
      </c>
      <c r="J238" t="s">
        <v>522</v>
      </c>
      <c r="K238" t="s">
        <v>394</v>
      </c>
      <c r="L238" t="s">
        <v>205</v>
      </c>
      <c r="M238" t="s">
        <v>415</v>
      </c>
      <c r="N238" t="s">
        <v>588</v>
      </c>
      <c r="O238" t="s">
        <v>669</v>
      </c>
      <c r="P238" t="s">
        <v>686</v>
      </c>
      <c r="Q238" t="s">
        <v>468</v>
      </c>
      <c r="R238" t="s">
        <v>706</v>
      </c>
      <c r="S238" t="s">
        <v>531</v>
      </c>
      <c r="T238" t="s">
        <v>690</v>
      </c>
      <c r="U238" t="s">
        <v>678</v>
      </c>
      <c r="V238" t="s">
        <v>568</v>
      </c>
      <c r="W238" t="s">
        <v>639</v>
      </c>
      <c r="X238" t="s">
        <v>744</v>
      </c>
      <c r="Y238" t="s">
        <v>303</v>
      </c>
      <c r="Z238" t="s">
        <v>604</v>
      </c>
      <c r="AA238" t="s">
        <v>698</v>
      </c>
      <c r="AB238" t="s">
        <v>584</v>
      </c>
      <c r="AC238" t="s">
        <v>585</v>
      </c>
      <c r="AD238" t="s">
        <v>621</v>
      </c>
    </row>
    <row r="239" spans="1:30" x14ac:dyDescent="0.35">
      <c r="A239" t="s">
        <v>30</v>
      </c>
      <c r="B239">
        <v>2019</v>
      </c>
      <c r="C239" t="s">
        <v>197</v>
      </c>
      <c r="D239" t="s">
        <v>501</v>
      </c>
      <c r="E239" t="s">
        <v>733</v>
      </c>
      <c r="F239" t="s">
        <v>547</v>
      </c>
      <c r="G239" t="s">
        <v>245</v>
      </c>
      <c r="H239" t="s">
        <v>353</v>
      </c>
      <c r="I239" t="s">
        <v>629</v>
      </c>
      <c r="J239" t="s">
        <v>745</v>
      </c>
      <c r="K239" t="s">
        <v>482</v>
      </c>
      <c r="L239" t="s">
        <v>101</v>
      </c>
      <c r="M239" t="s">
        <v>574</v>
      </c>
      <c r="N239" t="s">
        <v>568</v>
      </c>
      <c r="O239" t="s">
        <v>767</v>
      </c>
      <c r="P239" t="s">
        <v>492</v>
      </c>
      <c r="Q239" t="s">
        <v>768</v>
      </c>
      <c r="R239" t="s">
        <v>693</v>
      </c>
      <c r="S239" t="s">
        <v>713</v>
      </c>
      <c r="T239" t="s">
        <v>769</v>
      </c>
      <c r="U239" t="s">
        <v>48</v>
      </c>
      <c r="V239" t="s">
        <v>728</v>
      </c>
      <c r="W239" t="s">
        <v>673</v>
      </c>
      <c r="X239" t="s">
        <v>770</v>
      </c>
      <c r="Y239" t="s">
        <v>491</v>
      </c>
      <c r="Z239" t="s">
        <v>643</v>
      </c>
      <c r="AA239" t="s">
        <v>758</v>
      </c>
      <c r="AB239" t="s">
        <v>585</v>
      </c>
      <c r="AC239" t="s">
        <v>254</v>
      </c>
      <c r="AD239" t="s">
        <v>424</v>
      </c>
    </row>
    <row r="240" spans="1:30" x14ac:dyDescent="0.35">
      <c r="A240" t="s">
        <v>54</v>
      </c>
      <c r="B240">
        <v>2019</v>
      </c>
      <c r="C240" t="s">
        <v>197</v>
      </c>
      <c r="D240" t="s">
        <v>565</v>
      </c>
      <c r="E240" t="s">
        <v>771</v>
      </c>
      <c r="F240" t="s">
        <v>626</v>
      </c>
      <c r="G240" t="s">
        <v>625</v>
      </c>
      <c r="H240" t="s">
        <v>219</v>
      </c>
      <c r="I240" t="s">
        <v>661</v>
      </c>
      <c r="J240" t="s">
        <v>772</v>
      </c>
      <c r="K240" t="s">
        <v>453</v>
      </c>
      <c r="L240" t="s">
        <v>170</v>
      </c>
      <c r="M240" t="s">
        <v>629</v>
      </c>
      <c r="N240" t="s">
        <v>573</v>
      </c>
      <c r="O240" t="s">
        <v>703</v>
      </c>
      <c r="P240" t="s">
        <v>438</v>
      </c>
      <c r="Q240" t="s">
        <v>347</v>
      </c>
      <c r="R240" t="s">
        <v>608</v>
      </c>
      <c r="S240" t="s">
        <v>482</v>
      </c>
      <c r="T240" t="s">
        <v>689</v>
      </c>
      <c r="U240" t="s">
        <v>633</v>
      </c>
      <c r="V240" t="s">
        <v>340</v>
      </c>
      <c r="W240" t="s">
        <v>547</v>
      </c>
      <c r="X240" t="s">
        <v>618</v>
      </c>
      <c r="Y240" t="s">
        <v>258</v>
      </c>
      <c r="Z240" t="s">
        <v>505</v>
      </c>
      <c r="AA240" t="s">
        <v>678</v>
      </c>
      <c r="AB240" t="s">
        <v>638</v>
      </c>
      <c r="AC240" t="s">
        <v>598</v>
      </c>
      <c r="AD240" t="s">
        <v>715</v>
      </c>
    </row>
    <row r="241" spans="1:30" x14ac:dyDescent="0.35">
      <c r="A241" t="s">
        <v>73</v>
      </c>
      <c r="B241">
        <v>2019</v>
      </c>
      <c r="C241" t="s">
        <v>197</v>
      </c>
      <c r="D241" t="s">
        <v>604</v>
      </c>
      <c r="E241" t="s">
        <v>479</v>
      </c>
      <c r="F241" t="s">
        <v>605</v>
      </c>
      <c r="G241" t="s">
        <v>254</v>
      </c>
      <c r="H241" t="s">
        <v>253</v>
      </c>
      <c r="I241" t="s">
        <v>713</v>
      </c>
      <c r="J241" t="s">
        <v>675</v>
      </c>
      <c r="K241" t="s">
        <v>491</v>
      </c>
      <c r="L241" t="s">
        <v>115</v>
      </c>
      <c r="M241" t="s">
        <v>506</v>
      </c>
      <c r="N241" t="s">
        <v>527</v>
      </c>
      <c r="O241" t="s">
        <v>356</v>
      </c>
      <c r="P241" t="s">
        <v>773</v>
      </c>
      <c r="Q241" t="s">
        <v>774</v>
      </c>
      <c r="R241" t="s">
        <v>601</v>
      </c>
      <c r="S241" t="s">
        <v>531</v>
      </c>
      <c r="T241" t="s">
        <v>690</v>
      </c>
      <c r="U241" t="s">
        <v>633</v>
      </c>
      <c r="V241" t="s">
        <v>558</v>
      </c>
      <c r="W241" t="s">
        <v>592</v>
      </c>
      <c r="X241" t="s">
        <v>494</v>
      </c>
      <c r="Y241" t="s">
        <v>292</v>
      </c>
      <c r="Z241" t="s">
        <v>640</v>
      </c>
      <c r="AA241" t="s">
        <v>478</v>
      </c>
      <c r="AB241" t="s">
        <v>521</v>
      </c>
      <c r="AC241" t="s">
        <v>589</v>
      </c>
      <c r="AD241" t="s">
        <v>641</v>
      </c>
    </row>
    <row r="242" spans="1:30" x14ac:dyDescent="0.35">
      <c r="A242" t="s">
        <v>30</v>
      </c>
      <c r="B242">
        <v>2019</v>
      </c>
      <c r="C242" t="s">
        <v>207</v>
      </c>
      <c r="D242" t="s">
        <v>369</v>
      </c>
      <c r="E242" t="s">
        <v>749</v>
      </c>
      <c r="F242" t="s">
        <v>580</v>
      </c>
      <c r="G242" t="s">
        <v>645</v>
      </c>
      <c r="H242" t="s">
        <v>361</v>
      </c>
      <c r="I242" t="s">
        <v>245</v>
      </c>
      <c r="J242" t="s">
        <v>775</v>
      </c>
      <c r="K242" t="s">
        <v>440</v>
      </c>
      <c r="L242" t="s">
        <v>211</v>
      </c>
      <c r="M242" t="s">
        <v>492</v>
      </c>
      <c r="N242" t="s">
        <v>497</v>
      </c>
      <c r="O242" t="s">
        <v>776</v>
      </c>
      <c r="P242" t="s">
        <v>643</v>
      </c>
      <c r="Q242" t="s">
        <v>777</v>
      </c>
      <c r="R242" t="s">
        <v>693</v>
      </c>
      <c r="S242" t="s">
        <v>424</v>
      </c>
      <c r="T242" t="s">
        <v>769</v>
      </c>
      <c r="U242" t="s">
        <v>48</v>
      </c>
      <c r="V242" t="s">
        <v>649</v>
      </c>
      <c r="W242" t="s">
        <v>722</v>
      </c>
      <c r="X242" t="s">
        <v>778</v>
      </c>
      <c r="Y242" t="s">
        <v>435</v>
      </c>
      <c r="Z242" t="s">
        <v>646</v>
      </c>
      <c r="AA242" t="s">
        <v>668</v>
      </c>
      <c r="AB242" t="s">
        <v>368</v>
      </c>
      <c r="AC242" t="s">
        <v>245</v>
      </c>
      <c r="AD242" t="s">
        <v>643</v>
      </c>
    </row>
    <row r="243" spans="1:30" x14ac:dyDescent="0.35">
      <c r="A243" t="s">
        <v>54</v>
      </c>
      <c r="B243">
        <v>2019</v>
      </c>
      <c r="C243" t="s">
        <v>207</v>
      </c>
      <c r="D243" t="s">
        <v>651</v>
      </c>
      <c r="E243" t="s">
        <v>779</v>
      </c>
      <c r="F243" t="s">
        <v>715</v>
      </c>
      <c r="G243" t="s">
        <v>627</v>
      </c>
      <c r="H243" t="s">
        <v>299</v>
      </c>
      <c r="I243" t="s">
        <v>722</v>
      </c>
      <c r="J243" t="s">
        <v>780</v>
      </c>
      <c r="K243" t="s">
        <v>309</v>
      </c>
      <c r="L243" t="s">
        <v>176</v>
      </c>
      <c r="M243" t="s">
        <v>666</v>
      </c>
      <c r="N243" t="s">
        <v>524</v>
      </c>
      <c r="O243" t="s">
        <v>356</v>
      </c>
      <c r="P243" t="s">
        <v>737</v>
      </c>
      <c r="Q243" t="s">
        <v>781</v>
      </c>
      <c r="R243" t="s">
        <v>686</v>
      </c>
      <c r="S243" t="s">
        <v>481</v>
      </c>
      <c r="T243" t="s">
        <v>560</v>
      </c>
      <c r="U243" t="s">
        <v>729</v>
      </c>
      <c r="V243" t="s">
        <v>335</v>
      </c>
      <c r="W243" t="s">
        <v>567</v>
      </c>
      <c r="X243" t="s">
        <v>603</v>
      </c>
      <c r="Y243" t="s">
        <v>281</v>
      </c>
      <c r="Z243" t="s">
        <v>613</v>
      </c>
      <c r="AA243" t="s">
        <v>693</v>
      </c>
      <c r="AB243" t="s">
        <v>509</v>
      </c>
      <c r="AC243" t="s">
        <v>548</v>
      </c>
      <c r="AD243" t="s">
        <v>681</v>
      </c>
    </row>
    <row r="244" spans="1:30" x14ac:dyDescent="0.35">
      <c r="A244" t="s">
        <v>73</v>
      </c>
      <c r="B244">
        <v>2019</v>
      </c>
      <c r="C244" t="s">
        <v>207</v>
      </c>
      <c r="D244" t="s">
        <v>545</v>
      </c>
      <c r="E244" t="s">
        <v>685</v>
      </c>
      <c r="F244" t="s">
        <v>415</v>
      </c>
      <c r="G244" t="s">
        <v>644</v>
      </c>
      <c r="H244" t="s">
        <v>257</v>
      </c>
      <c r="I244" t="s">
        <v>635</v>
      </c>
      <c r="J244" t="s">
        <v>577</v>
      </c>
      <c r="K244" t="s">
        <v>410</v>
      </c>
      <c r="L244" t="s">
        <v>170</v>
      </c>
      <c r="M244" t="s">
        <v>254</v>
      </c>
      <c r="N244" t="s">
        <v>493</v>
      </c>
      <c r="O244" t="s">
        <v>672</v>
      </c>
      <c r="P244" t="s">
        <v>697</v>
      </c>
      <c r="Q244" t="s">
        <v>782</v>
      </c>
      <c r="R244" t="s">
        <v>692</v>
      </c>
      <c r="S244" t="s">
        <v>433</v>
      </c>
      <c r="T244" t="s">
        <v>655</v>
      </c>
      <c r="U244" t="s">
        <v>729</v>
      </c>
      <c r="V244" t="s">
        <v>531</v>
      </c>
      <c r="W244" t="s">
        <v>621</v>
      </c>
      <c r="X244" t="s">
        <v>692</v>
      </c>
      <c r="Y244" t="s">
        <v>294</v>
      </c>
      <c r="Z244" t="s">
        <v>730</v>
      </c>
      <c r="AA244" t="s">
        <v>783</v>
      </c>
      <c r="AB244" t="s">
        <v>179</v>
      </c>
      <c r="AC244" t="s">
        <v>369</v>
      </c>
      <c r="AD244" t="s">
        <v>674</v>
      </c>
    </row>
    <row r="245" spans="1:30" x14ac:dyDescent="0.35">
      <c r="A245" t="s">
        <v>30</v>
      </c>
      <c r="B245">
        <v>2019</v>
      </c>
      <c r="C245" t="s">
        <v>233</v>
      </c>
      <c r="D245" t="s">
        <v>545</v>
      </c>
      <c r="E245" t="s">
        <v>784</v>
      </c>
      <c r="F245" t="s">
        <v>629</v>
      </c>
      <c r="G245" t="s">
        <v>695</v>
      </c>
      <c r="H245" t="s">
        <v>393</v>
      </c>
      <c r="I245" t="s">
        <v>644</v>
      </c>
      <c r="J245" t="s">
        <v>785</v>
      </c>
      <c r="K245" t="s">
        <v>613</v>
      </c>
      <c r="L245" t="s">
        <v>159</v>
      </c>
      <c r="M245" t="s">
        <v>670</v>
      </c>
      <c r="N245" t="s">
        <v>567</v>
      </c>
      <c r="O245" t="s">
        <v>324</v>
      </c>
      <c r="P245" t="s">
        <v>754</v>
      </c>
      <c r="Q245" t="s">
        <v>761</v>
      </c>
      <c r="R245" t="s">
        <v>725</v>
      </c>
      <c r="S245" t="s">
        <v>773</v>
      </c>
      <c r="T245" t="s">
        <v>648</v>
      </c>
      <c r="U245" t="s">
        <v>48</v>
      </c>
      <c r="V245" t="s">
        <v>652</v>
      </c>
      <c r="W245" t="s">
        <v>754</v>
      </c>
      <c r="X245" t="s">
        <v>710</v>
      </c>
      <c r="Y245" t="s">
        <v>313</v>
      </c>
      <c r="Z245" t="s">
        <v>706</v>
      </c>
      <c r="AA245" t="s">
        <v>479</v>
      </c>
      <c r="AB245" t="s">
        <v>531</v>
      </c>
      <c r="AC245" t="s">
        <v>665</v>
      </c>
      <c r="AD245" t="s">
        <v>741</v>
      </c>
    </row>
    <row r="246" spans="1:30" x14ac:dyDescent="0.35">
      <c r="A246" t="s">
        <v>54</v>
      </c>
      <c r="B246">
        <v>2019</v>
      </c>
      <c r="C246" t="s">
        <v>233</v>
      </c>
      <c r="D246" t="s">
        <v>506</v>
      </c>
      <c r="E246" t="s">
        <v>738</v>
      </c>
      <c r="F246" t="s">
        <v>652</v>
      </c>
      <c r="G246" t="s">
        <v>686</v>
      </c>
      <c r="H246" t="s">
        <v>281</v>
      </c>
      <c r="I246" t="s">
        <v>726</v>
      </c>
      <c r="J246" t="s">
        <v>786</v>
      </c>
      <c r="K246" t="s">
        <v>552</v>
      </c>
      <c r="L246" t="s">
        <v>158</v>
      </c>
      <c r="M246" t="s">
        <v>632</v>
      </c>
      <c r="N246" t="s">
        <v>418</v>
      </c>
      <c r="O246" t="s">
        <v>767</v>
      </c>
      <c r="P246" t="s">
        <v>443</v>
      </c>
      <c r="Q246" t="s">
        <v>787</v>
      </c>
      <c r="R246" t="s">
        <v>632</v>
      </c>
      <c r="S246" t="s">
        <v>417</v>
      </c>
      <c r="T246" t="s">
        <v>574</v>
      </c>
      <c r="U246" t="s">
        <v>437</v>
      </c>
      <c r="V246" t="s">
        <v>482</v>
      </c>
      <c r="W246" t="s">
        <v>428</v>
      </c>
      <c r="X246" t="s">
        <v>563</v>
      </c>
      <c r="Y246" t="s">
        <v>288</v>
      </c>
      <c r="Z246" t="s">
        <v>544</v>
      </c>
      <c r="AA246" t="s">
        <v>194</v>
      </c>
      <c r="AB246" t="s">
        <v>578</v>
      </c>
      <c r="AC246" t="s">
        <v>528</v>
      </c>
      <c r="AD246" t="s">
        <v>773</v>
      </c>
    </row>
    <row r="247" spans="1:30" x14ac:dyDescent="0.35">
      <c r="A247" t="s">
        <v>73</v>
      </c>
      <c r="B247">
        <v>2019</v>
      </c>
      <c r="C247" t="s">
        <v>233</v>
      </c>
      <c r="D247" t="s">
        <v>642</v>
      </c>
      <c r="E247" t="s">
        <v>687</v>
      </c>
      <c r="F247" t="s">
        <v>627</v>
      </c>
      <c r="G247" t="s">
        <v>424</v>
      </c>
      <c r="H247" t="s">
        <v>349</v>
      </c>
      <c r="I247" t="s">
        <v>650</v>
      </c>
      <c r="J247" t="s">
        <v>788</v>
      </c>
      <c r="K247" t="s">
        <v>598</v>
      </c>
      <c r="L247" t="s">
        <v>139</v>
      </c>
      <c r="M247" t="s">
        <v>773</v>
      </c>
      <c r="N247" t="s">
        <v>473</v>
      </c>
      <c r="O247" t="s">
        <v>709</v>
      </c>
      <c r="P247" t="s">
        <v>737</v>
      </c>
      <c r="Q247" t="s">
        <v>620</v>
      </c>
      <c r="R247" t="s">
        <v>741</v>
      </c>
      <c r="S247" t="s">
        <v>369</v>
      </c>
      <c r="T247" t="s">
        <v>647</v>
      </c>
      <c r="U247" t="s">
        <v>437</v>
      </c>
      <c r="V247" t="s">
        <v>623</v>
      </c>
      <c r="W247" t="s">
        <v>608</v>
      </c>
      <c r="X247" t="s">
        <v>741</v>
      </c>
      <c r="Y247" t="s">
        <v>340</v>
      </c>
      <c r="Z247" t="s">
        <v>455</v>
      </c>
      <c r="AA247" t="s">
        <v>743</v>
      </c>
      <c r="AB247" t="s">
        <v>368</v>
      </c>
      <c r="AC247" t="s">
        <v>640</v>
      </c>
      <c r="AD247" t="s">
        <v>647</v>
      </c>
    </row>
    <row r="248" spans="1:30" x14ac:dyDescent="0.35">
      <c r="A248" t="s">
        <v>30</v>
      </c>
      <c r="B248">
        <v>2019</v>
      </c>
      <c r="C248" t="s">
        <v>242</v>
      </c>
      <c r="D248" t="s">
        <v>563</v>
      </c>
      <c r="E248" t="s">
        <v>475</v>
      </c>
      <c r="F248" t="s">
        <v>438</v>
      </c>
      <c r="G248" t="s">
        <v>646</v>
      </c>
      <c r="H248" t="s">
        <v>402</v>
      </c>
      <c r="I248" t="s">
        <v>609</v>
      </c>
      <c r="J248" t="s">
        <v>789</v>
      </c>
      <c r="K248" t="s">
        <v>583</v>
      </c>
      <c r="L248" t="s">
        <v>211</v>
      </c>
      <c r="M248" t="s">
        <v>706</v>
      </c>
      <c r="N248" t="s">
        <v>538</v>
      </c>
      <c r="O248" t="s">
        <v>719</v>
      </c>
      <c r="P248" t="s">
        <v>710</v>
      </c>
      <c r="Q248" t="s">
        <v>790</v>
      </c>
      <c r="R248" t="s">
        <v>735</v>
      </c>
      <c r="S248" t="s">
        <v>670</v>
      </c>
      <c r="T248" t="s">
        <v>737</v>
      </c>
      <c r="U248" t="s">
        <v>48</v>
      </c>
      <c r="V248" t="s">
        <v>741</v>
      </c>
      <c r="W248" t="s">
        <v>610</v>
      </c>
      <c r="X248" t="s">
        <v>721</v>
      </c>
      <c r="Y248" t="s">
        <v>527</v>
      </c>
      <c r="Z248" t="s">
        <v>438</v>
      </c>
      <c r="AA248" t="s">
        <v>329</v>
      </c>
      <c r="AB248" t="s">
        <v>531</v>
      </c>
      <c r="AC248" t="s">
        <v>695</v>
      </c>
      <c r="AD248" t="s">
        <v>725</v>
      </c>
    </row>
    <row r="249" spans="1:30" x14ac:dyDescent="0.35">
      <c r="A249" t="s">
        <v>54</v>
      </c>
      <c r="B249">
        <v>2019</v>
      </c>
      <c r="C249" t="s">
        <v>242</v>
      </c>
      <c r="D249" t="s">
        <v>625</v>
      </c>
      <c r="E249" t="s">
        <v>757</v>
      </c>
      <c r="F249" t="s">
        <v>778</v>
      </c>
      <c r="G249" t="s">
        <v>637</v>
      </c>
      <c r="H249" t="s">
        <v>296</v>
      </c>
      <c r="I249" t="s">
        <v>674</v>
      </c>
      <c r="J249" t="s">
        <v>791</v>
      </c>
      <c r="K249" t="s">
        <v>559</v>
      </c>
      <c r="L249" t="s">
        <v>181</v>
      </c>
      <c r="M249" t="s">
        <v>635</v>
      </c>
      <c r="N249" t="s">
        <v>405</v>
      </c>
      <c r="O249" t="s">
        <v>324</v>
      </c>
      <c r="P249" t="s">
        <v>702</v>
      </c>
      <c r="Q249" t="s">
        <v>595</v>
      </c>
      <c r="R249" t="s">
        <v>660</v>
      </c>
      <c r="S249" t="s">
        <v>427</v>
      </c>
      <c r="T249" t="s">
        <v>592</v>
      </c>
      <c r="U249" t="s">
        <v>699</v>
      </c>
      <c r="V249" t="s">
        <v>490</v>
      </c>
      <c r="W249" t="s">
        <v>578</v>
      </c>
      <c r="X249" t="s">
        <v>634</v>
      </c>
      <c r="Y249" t="s">
        <v>348</v>
      </c>
      <c r="Z249" t="s">
        <v>539</v>
      </c>
      <c r="AA249" t="s">
        <v>737</v>
      </c>
      <c r="AB249" t="s">
        <v>585</v>
      </c>
      <c r="AC249" t="s">
        <v>555</v>
      </c>
      <c r="AD249" t="s">
        <v>643</v>
      </c>
    </row>
    <row r="250" spans="1:30" x14ac:dyDescent="0.35">
      <c r="A250" t="s">
        <v>73</v>
      </c>
      <c r="B250">
        <v>2019</v>
      </c>
      <c r="C250" t="s">
        <v>242</v>
      </c>
      <c r="D250" t="s">
        <v>651</v>
      </c>
      <c r="E250" t="s">
        <v>792</v>
      </c>
      <c r="F250" t="s">
        <v>746</v>
      </c>
      <c r="G250" t="s">
        <v>643</v>
      </c>
      <c r="H250" t="s">
        <v>365</v>
      </c>
      <c r="I250" t="s">
        <v>245</v>
      </c>
      <c r="J250" t="s">
        <v>793</v>
      </c>
      <c r="K250" t="s">
        <v>547</v>
      </c>
      <c r="L250" t="s">
        <v>170</v>
      </c>
      <c r="M250" t="s">
        <v>646</v>
      </c>
      <c r="N250" t="s">
        <v>471</v>
      </c>
      <c r="O250" t="s">
        <v>794</v>
      </c>
      <c r="P250" t="s">
        <v>795</v>
      </c>
      <c r="Q250" t="s">
        <v>458</v>
      </c>
      <c r="R250" t="s">
        <v>673</v>
      </c>
      <c r="S250" t="s">
        <v>640</v>
      </c>
      <c r="T250" t="s">
        <v>494</v>
      </c>
      <c r="U250" t="s">
        <v>699</v>
      </c>
      <c r="V250" t="s">
        <v>631</v>
      </c>
      <c r="W250" t="s">
        <v>641</v>
      </c>
      <c r="X250" t="s">
        <v>701</v>
      </c>
      <c r="Y250" t="s">
        <v>342</v>
      </c>
      <c r="Z250" t="s">
        <v>623</v>
      </c>
      <c r="AA250" t="s">
        <v>796</v>
      </c>
      <c r="AB250" t="s">
        <v>541</v>
      </c>
      <c r="AC250" t="s">
        <v>642</v>
      </c>
      <c r="AD250" t="s">
        <v>701</v>
      </c>
    </row>
    <row r="251" spans="1:30" x14ac:dyDescent="0.35">
      <c r="A251" t="s">
        <v>30</v>
      </c>
      <c r="B251">
        <v>2020</v>
      </c>
      <c r="C251" t="s">
        <v>31</v>
      </c>
      <c r="D251" t="s">
        <v>631</v>
      </c>
      <c r="E251" t="s">
        <v>797</v>
      </c>
      <c r="F251" t="s">
        <v>437</v>
      </c>
      <c r="G251" t="s">
        <v>654</v>
      </c>
      <c r="H251" t="s">
        <v>465</v>
      </c>
      <c r="I251" t="s">
        <v>553</v>
      </c>
      <c r="J251" t="s">
        <v>798</v>
      </c>
      <c r="K251" t="s">
        <v>612</v>
      </c>
      <c r="L251" t="s">
        <v>159</v>
      </c>
      <c r="M251" t="s">
        <v>678</v>
      </c>
      <c r="N251" t="s">
        <v>521</v>
      </c>
      <c r="O251" t="s">
        <v>771</v>
      </c>
      <c r="P251" t="s">
        <v>729</v>
      </c>
      <c r="Q251" t="s">
        <v>347</v>
      </c>
      <c r="R251" t="s">
        <v>699</v>
      </c>
      <c r="S251" t="s">
        <v>650</v>
      </c>
      <c r="T251" t="s">
        <v>658</v>
      </c>
      <c r="U251" t="s">
        <v>48</v>
      </c>
      <c r="V251" t="s">
        <v>701</v>
      </c>
      <c r="W251" t="s">
        <v>693</v>
      </c>
      <c r="X251" t="s">
        <v>796</v>
      </c>
      <c r="Y251" t="s">
        <v>528</v>
      </c>
      <c r="Z251" t="s">
        <v>316</v>
      </c>
      <c r="AA251" t="s">
        <v>624</v>
      </c>
      <c r="AB251" t="s">
        <v>642</v>
      </c>
      <c r="AC251" t="s">
        <v>425</v>
      </c>
      <c r="AD251" t="s">
        <v>737</v>
      </c>
    </row>
    <row r="252" spans="1:30" x14ac:dyDescent="0.35">
      <c r="A252" t="s">
        <v>54</v>
      </c>
      <c r="B252">
        <v>2020</v>
      </c>
      <c r="C252" t="s">
        <v>31</v>
      </c>
      <c r="D252" t="s">
        <v>627</v>
      </c>
      <c r="E252" t="s">
        <v>799</v>
      </c>
      <c r="F252" t="s">
        <v>688</v>
      </c>
      <c r="G252" t="s">
        <v>664</v>
      </c>
      <c r="H252" t="s">
        <v>294</v>
      </c>
      <c r="I252" t="s">
        <v>630</v>
      </c>
      <c r="J252" t="s">
        <v>800</v>
      </c>
      <c r="K252" t="s">
        <v>428</v>
      </c>
      <c r="L252" t="s">
        <v>176</v>
      </c>
      <c r="M252" t="s">
        <v>438</v>
      </c>
      <c r="N252" t="s">
        <v>338</v>
      </c>
      <c r="O252" t="s">
        <v>751</v>
      </c>
      <c r="P252" t="s">
        <v>727</v>
      </c>
      <c r="Q252" t="s">
        <v>801</v>
      </c>
      <c r="R252" t="s">
        <v>773</v>
      </c>
      <c r="S252" t="s">
        <v>421</v>
      </c>
      <c r="T252" t="s">
        <v>625</v>
      </c>
      <c r="U252" t="s">
        <v>747</v>
      </c>
      <c r="V252" t="s">
        <v>493</v>
      </c>
      <c r="W252" t="s">
        <v>501</v>
      </c>
      <c r="X252" t="s">
        <v>629</v>
      </c>
      <c r="Y252" t="s">
        <v>292</v>
      </c>
      <c r="Z252" t="s">
        <v>559</v>
      </c>
      <c r="AA252" t="s">
        <v>658</v>
      </c>
      <c r="AB252" t="s">
        <v>455</v>
      </c>
      <c r="AC252" t="s">
        <v>584</v>
      </c>
      <c r="AD252" t="s">
        <v>655</v>
      </c>
    </row>
    <row r="253" spans="1:30" x14ac:dyDescent="0.35">
      <c r="A253" t="s">
        <v>73</v>
      </c>
      <c r="B253">
        <v>2020</v>
      </c>
      <c r="C253" t="s">
        <v>31</v>
      </c>
      <c r="D253" t="s">
        <v>609</v>
      </c>
      <c r="E253" t="s">
        <v>522</v>
      </c>
      <c r="F253" t="s">
        <v>698</v>
      </c>
      <c r="G253" t="s">
        <v>316</v>
      </c>
      <c r="H253" t="s">
        <v>260</v>
      </c>
      <c r="I253" t="s">
        <v>634</v>
      </c>
      <c r="J253" t="s">
        <v>802</v>
      </c>
      <c r="K253" t="s">
        <v>541</v>
      </c>
      <c r="L253" t="s">
        <v>238</v>
      </c>
      <c r="M253" t="s">
        <v>754</v>
      </c>
      <c r="N253" t="s">
        <v>599</v>
      </c>
      <c r="O253" t="s">
        <v>803</v>
      </c>
      <c r="P253" t="s">
        <v>437</v>
      </c>
      <c r="Q253" t="s">
        <v>557</v>
      </c>
      <c r="R253" t="s">
        <v>654</v>
      </c>
      <c r="S253" t="s">
        <v>510</v>
      </c>
      <c r="T253" t="s">
        <v>601</v>
      </c>
      <c r="U253" t="s">
        <v>747</v>
      </c>
      <c r="V253" t="s">
        <v>592</v>
      </c>
      <c r="W253" t="s">
        <v>644</v>
      </c>
      <c r="X253" t="s">
        <v>610</v>
      </c>
      <c r="Y253" t="s">
        <v>394</v>
      </c>
      <c r="Z253" t="s">
        <v>563</v>
      </c>
      <c r="AA253" t="s">
        <v>705</v>
      </c>
      <c r="AB253" t="s">
        <v>623</v>
      </c>
      <c r="AC253" t="s">
        <v>659</v>
      </c>
      <c r="AD253" t="s">
        <v>734</v>
      </c>
    </row>
    <row r="254" spans="1:30" x14ac:dyDescent="0.35">
      <c r="A254" t="s">
        <v>30</v>
      </c>
      <c r="B254">
        <v>2020</v>
      </c>
      <c r="C254" t="s">
        <v>85</v>
      </c>
      <c r="D254" t="s">
        <v>574</v>
      </c>
      <c r="E254" t="s">
        <v>543</v>
      </c>
      <c r="F254" t="s">
        <v>754</v>
      </c>
      <c r="G254" t="s">
        <v>754</v>
      </c>
      <c r="H254" t="s">
        <v>320</v>
      </c>
      <c r="I254" t="s">
        <v>589</v>
      </c>
      <c r="J254" t="s">
        <v>763</v>
      </c>
      <c r="K254" t="s">
        <v>545</v>
      </c>
      <c r="L254" t="s">
        <v>166</v>
      </c>
      <c r="M254" t="s">
        <v>699</v>
      </c>
      <c r="N254" t="s">
        <v>501</v>
      </c>
      <c r="O254" t="s">
        <v>707</v>
      </c>
      <c r="P254" t="s">
        <v>661</v>
      </c>
      <c r="Q254" t="s">
        <v>804</v>
      </c>
      <c r="R254" t="s">
        <v>729</v>
      </c>
      <c r="S254" t="s">
        <v>637</v>
      </c>
      <c r="T254" t="s">
        <v>725</v>
      </c>
      <c r="U254" t="s">
        <v>48</v>
      </c>
      <c r="V254" t="s">
        <v>725</v>
      </c>
      <c r="W254" t="s">
        <v>194</v>
      </c>
      <c r="X254" t="s">
        <v>682</v>
      </c>
      <c r="Y254" t="s">
        <v>548</v>
      </c>
      <c r="Z254" t="s">
        <v>701</v>
      </c>
      <c r="AA254" t="s">
        <v>733</v>
      </c>
      <c r="AB254" t="s">
        <v>659</v>
      </c>
      <c r="AC254" t="s">
        <v>652</v>
      </c>
      <c r="AD254" t="s">
        <v>701</v>
      </c>
    </row>
    <row r="255" spans="1:30" x14ac:dyDescent="0.35">
      <c r="A255" t="s">
        <v>54</v>
      </c>
      <c r="B255">
        <v>2020</v>
      </c>
      <c r="C255" t="s">
        <v>85</v>
      </c>
      <c r="D255" t="s">
        <v>644</v>
      </c>
      <c r="E255" t="s">
        <v>799</v>
      </c>
      <c r="F255" t="s">
        <v>805</v>
      </c>
      <c r="G255" t="s">
        <v>600</v>
      </c>
      <c r="H255" t="s">
        <v>380</v>
      </c>
      <c r="I255" t="s">
        <v>615</v>
      </c>
      <c r="J255" t="s">
        <v>806</v>
      </c>
      <c r="K255" t="s">
        <v>605</v>
      </c>
      <c r="L255" t="s">
        <v>126</v>
      </c>
      <c r="M255" t="s">
        <v>701</v>
      </c>
      <c r="N255" t="s">
        <v>431</v>
      </c>
      <c r="O255" t="s">
        <v>807</v>
      </c>
      <c r="P255" t="s">
        <v>693</v>
      </c>
      <c r="Q255" t="s">
        <v>808</v>
      </c>
      <c r="R255" t="s">
        <v>670</v>
      </c>
      <c r="S255" t="s">
        <v>549</v>
      </c>
      <c r="T255" t="s">
        <v>666</v>
      </c>
      <c r="U255" t="s">
        <v>721</v>
      </c>
      <c r="V255" t="s">
        <v>185</v>
      </c>
      <c r="W255" t="s">
        <v>541</v>
      </c>
      <c r="X255" t="s">
        <v>630</v>
      </c>
      <c r="Y255" t="s">
        <v>348</v>
      </c>
      <c r="Z255" t="s">
        <v>555</v>
      </c>
      <c r="AA255" t="s">
        <v>633</v>
      </c>
      <c r="AB255" t="s">
        <v>651</v>
      </c>
      <c r="AC255" t="s">
        <v>584</v>
      </c>
      <c r="AD255" t="s">
        <v>649</v>
      </c>
    </row>
    <row r="256" spans="1:30" x14ac:dyDescent="0.35">
      <c r="A256" t="s">
        <v>73</v>
      </c>
      <c r="B256">
        <v>2020</v>
      </c>
      <c r="C256" t="s">
        <v>85</v>
      </c>
      <c r="D256" t="s">
        <v>250</v>
      </c>
      <c r="E256" t="s">
        <v>543</v>
      </c>
      <c r="F256" t="s">
        <v>194</v>
      </c>
      <c r="G256" t="s">
        <v>671</v>
      </c>
      <c r="H256" t="s">
        <v>396</v>
      </c>
      <c r="I256" t="s">
        <v>545</v>
      </c>
      <c r="J256" t="s">
        <v>511</v>
      </c>
      <c r="K256" t="s">
        <v>612</v>
      </c>
      <c r="L256" t="s">
        <v>211</v>
      </c>
      <c r="M256" t="s">
        <v>359</v>
      </c>
      <c r="N256" t="s">
        <v>534</v>
      </c>
      <c r="O256" t="s">
        <v>593</v>
      </c>
      <c r="P256" t="s">
        <v>654</v>
      </c>
      <c r="Q256" t="s">
        <v>809</v>
      </c>
      <c r="R256" t="s">
        <v>671</v>
      </c>
      <c r="S256" t="s">
        <v>730</v>
      </c>
      <c r="T256" t="s">
        <v>438</v>
      </c>
      <c r="U256" t="s">
        <v>721</v>
      </c>
      <c r="V256" t="s">
        <v>674</v>
      </c>
      <c r="W256" t="s">
        <v>720</v>
      </c>
      <c r="X256" t="s">
        <v>693</v>
      </c>
      <c r="Y256" t="s">
        <v>453</v>
      </c>
      <c r="Z256" t="s">
        <v>634</v>
      </c>
      <c r="AA256" t="s">
        <v>682</v>
      </c>
      <c r="AB256" t="s">
        <v>659</v>
      </c>
      <c r="AC256" t="s">
        <v>156</v>
      </c>
      <c r="AD256" t="s">
        <v>706</v>
      </c>
    </row>
    <row r="257" spans="1:30" x14ac:dyDescent="0.35">
      <c r="A257" t="s">
        <v>30</v>
      </c>
      <c r="B257">
        <v>2020</v>
      </c>
      <c r="C257" t="s">
        <v>107</v>
      </c>
      <c r="D257" t="s">
        <v>630</v>
      </c>
      <c r="E257" t="s">
        <v>810</v>
      </c>
      <c r="F257" t="s">
        <v>700</v>
      </c>
      <c r="G257" t="s">
        <v>693</v>
      </c>
      <c r="H257" t="s">
        <v>432</v>
      </c>
      <c r="I257" t="s">
        <v>545</v>
      </c>
      <c r="J257" t="s">
        <v>725</v>
      </c>
      <c r="K257" t="s">
        <v>545</v>
      </c>
      <c r="L257" t="s">
        <v>180</v>
      </c>
      <c r="M257" t="s">
        <v>199</v>
      </c>
      <c r="N257" t="s">
        <v>501</v>
      </c>
      <c r="O257" t="s">
        <v>811</v>
      </c>
      <c r="P257" t="s">
        <v>655</v>
      </c>
      <c r="Q257" t="s">
        <v>812</v>
      </c>
      <c r="R257" t="s">
        <v>770</v>
      </c>
      <c r="S257" t="s">
        <v>700</v>
      </c>
      <c r="T257" t="s">
        <v>556</v>
      </c>
      <c r="U257" t="s">
        <v>48</v>
      </c>
      <c r="V257" t="s">
        <v>770</v>
      </c>
      <c r="W257" t="s">
        <v>648</v>
      </c>
      <c r="X257" t="s">
        <v>748</v>
      </c>
      <c r="Y257" t="s">
        <v>471</v>
      </c>
      <c r="Z257" t="s">
        <v>610</v>
      </c>
      <c r="AA257" t="s">
        <v>525</v>
      </c>
      <c r="AB257" t="s">
        <v>441</v>
      </c>
      <c r="AC257" t="s">
        <v>647</v>
      </c>
      <c r="AD257" t="s">
        <v>661</v>
      </c>
    </row>
    <row r="258" spans="1:30" x14ac:dyDescent="0.35">
      <c r="A258" t="s">
        <v>54</v>
      </c>
      <c r="B258">
        <v>2020</v>
      </c>
      <c r="C258" t="s">
        <v>107</v>
      </c>
      <c r="D258" t="s">
        <v>645</v>
      </c>
      <c r="E258" t="s">
        <v>543</v>
      </c>
      <c r="F258" t="s">
        <v>684</v>
      </c>
      <c r="G258" t="s">
        <v>746</v>
      </c>
      <c r="H258" t="s">
        <v>402</v>
      </c>
      <c r="I258" t="s">
        <v>689</v>
      </c>
      <c r="J258" t="s">
        <v>813</v>
      </c>
      <c r="K258" t="s">
        <v>521</v>
      </c>
      <c r="L258" t="s">
        <v>231</v>
      </c>
      <c r="M258" t="s">
        <v>648</v>
      </c>
      <c r="N258" t="s">
        <v>423</v>
      </c>
      <c r="O258" t="s">
        <v>593</v>
      </c>
      <c r="P258" t="s">
        <v>316</v>
      </c>
      <c r="Q258" t="s">
        <v>814</v>
      </c>
      <c r="R258" t="s">
        <v>649</v>
      </c>
      <c r="S258" t="s">
        <v>434</v>
      </c>
      <c r="T258" t="s">
        <v>627</v>
      </c>
      <c r="U258" t="s">
        <v>663</v>
      </c>
      <c r="V258" t="s">
        <v>708</v>
      </c>
      <c r="W258" t="s">
        <v>433</v>
      </c>
      <c r="X258" t="s">
        <v>621</v>
      </c>
      <c r="Y258" t="s">
        <v>354</v>
      </c>
      <c r="Z258" t="s">
        <v>444</v>
      </c>
      <c r="AA258" t="s">
        <v>556</v>
      </c>
      <c r="AB258" t="s">
        <v>608</v>
      </c>
      <c r="AC258" t="s">
        <v>567</v>
      </c>
      <c r="AD258" t="s">
        <v>670</v>
      </c>
    </row>
    <row r="259" spans="1:30" x14ac:dyDescent="0.35">
      <c r="A259" t="s">
        <v>73</v>
      </c>
      <c r="B259">
        <v>2020</v>
      </c>
      <c r="C259" t="s">
        <v>107</v>
      </c>
      <c r="D259" t="s">
        <v>441</v>
      </c>
      <c r="E259" t="s">
        <v>813</v>
      </c>
      <c r="F259" t="s">
        <v>425</v>
      </c>
      <c r="G259" t="s">
        <v>648</v>
      </c>
      <c r="H259" t="s">
        <v>309</v>
      </c>
      <c r="I259" t="s">
        <v>642</v>
      </c>
      <c r="J259" t="s">
        <v>717</v>
      </c>
      <c r="K259" t="s">
        <v>612</v>
      </c>
      <c r="L259" t="s">
        <v>115</v>
      </c>
      <c r="M259" t="s">
        <v>362</v>
      </c>
      <c r="N259" t="s">
        <v>544</v>
      </c>
      <c r="O259" t="s">
        <v>355</v>
      </c>
      <c r="P259" t="s">
        <v>684</v>
      </c>
      <c r="Q259" t="s">
        <v>223</v>
      </c>
      <c r="R259" t="s">
        <v>610</v>
      </c>
      <c r="S259" t="s">
        <v>618</v>
      </c>
      <c r="T259" t="s">
        <v>661</v>
      </c>
      <c r="U259" t="s">
        <v>663</v>
      </c>
      <c r="V259" t="s">
        <v>684</v>
      </c>
      <c r="W259" t="s">
        <v>720</v>
      </c>
      <c r="X259" t="s">
        <v>725</v>
      </c>
      <c r="Y259" t="s">
        <v>260</v>
      </c>
      <c r="Z259" t="s">
        <v>631</v>
      </c>
      <c r="AA259" t="s">
        <v>705</v>
      </c>
      <c r="AB259" t="s">
        <v>666</v>
      </c>
      <c r="AC259" t="s">
        <v>629</v>
      </c>
      <c r="AD259" t="s">
        <v>647</v>
      </c>
    </row>
    <row r="260" spans="1:30" x14ac:dyDescent="0.35">
      <c r="A260" t="s">
        <v>30</v>
      </c>
      <c r="B260">
        <v>2020</v>
      </c>
      <c r="C260" t="s">
        <v>123</v>
      </c>
      <c r="D260" t="s">
        <v>674</v>
      </c>
      <c r="E260" t="s">
        <v>48</v>
      </c>
      <c r="F260" t="s">
        <v>728</v>
      </c>
      <c r="G260" t="s">
        <v>760</v>
      </c>
      <c r="H260" t="s">
        <v>485</v>
      </c>
      <c r="I260" t="s">
        <v>670</v>
      </c>
      <c r="J260" t="s">
        <v>536</v>
      </c>
      <c r="K260" t="s">
        <v>734</v>
      </c>
      <c r="L260" t="s">
        <v>210</v>
      </c>
      <c r="M260" t="s">
        <v>771</v>
      </c>
      <c r="N260" t="s">
        <v>558</v>
      </c>
      <c r="O260" t="s">
        <v>48</v>
      </c>
      <c r="P260" t="s">
        <v>316</v>
      </c>
      <c r="Q260" t="s">
        <v>48</v>
      </c>
      <c r="R260" t="s">
        <v>48</v>
      </c>
      <c r="S260" t="s">
        <v>48</v>
      </c>
      <c r="T260" t="s">
        <v>48</v>
      </c>
      <c r="U260" t="s">
        <v>48</v>
      </c>
      <c r="V260" t="s">
        <v>652</v>
      </c>
      <c r="W260" t="s">
        <v>48</v>
      </c>
      <c r="X260" t="s">
        <v>710</v>
      </c>
      <c r="Y260" t="s">
        <v>48</v>
      </c>
      <c r="Z260" t="s">
        <v>48</v>
      </c>
      <c r="AA260" t="s">
        <v>48</v>
      </c>
      <c r="AB260" t="s">
        <v>48</v>
      </c>
      <c r="AC260" t="s">
        <v>48</v>
      </c>
      <c r="AD260" t="s">
        <v>48</v>
      </c>
    </row>
    <row r="261" spans="1:30" x14ac:dyDescent="0.35">
      <c r="A261" t="s">
        <v>54</v>
      </c>
      <c r="B261">
        <v>2020</v>
      </c>
      <c r="C261" t="s">
        <v>123</v>
      </c>
      <c r="D261" t="s">
        <v>194</v>
      </c>
      <c r="E261" t="s">
        <v>48</v>
      </c>
      <c r="F261" t="s">
        <v>737</v>
      </c>
      <c r="G261" t="s">
        <v>743</v>
      </c>
      <c r="H261" t="s">
        <v>491</v>
      </c>
      <c r="I261" t="s">
        <v>596</v>
      </c>
      <c r="J261" t="s">
        <v>815</v>
      </c>
      <c r="K261" t="s">
        <v>671</v>
      </c>
      <c r="L261" t="s">
        <v>258</v>
      </c>
      <c r="M261" t="s">
        <v>199</v>
      </c>
      <c r="N261" t="s">
        <v>549</v>
      </c>
      <c r="O261" t="s">
        <v>48</v>
      </c>
      <c r="P261" t="s">
        <v>437</v>
      </c>
      <c r="Q261" t="s">
        <v>48</v>
      </c>
      <c r="R261" t="s">
        <v>48</v>
      </c>
      <c r="S261" t="s">
        <v>48</v>
      </c>
      <c r="T261" t="s">
        <v>48</v>
      </c>
      <c r="U261" t="s">
        <v>760</v>
      </c>
      <c r="V261" t="s">
        <v>485</v>
      </c>
      <c r="W261" t="s">
        <v>48</v>
      </c>
      <c r="X261" t="s">
        <v>250</v>
      </c>
      <c r="Y261" t="s">
        <v>48</v>
      </c>
      <c r="Z261" t="s">
        <v>48</v>
      </c>
      <c r="AA261" t="s">
        <v>48</v>
      </c>
      <c r="AB261" t="s">
        <v>48</v>
      </c>
      <c r="AC261" t="s">
        <v>48</v>
      </c>
      <c r="AD261" t="s">
        <v>48</v>
      </c>
    </row>
    <row r="262" spans="1:30" x14ac:dyDescent="0.35">
      <c r="A262" t="s">
        <v>73</v>
      </c>
      <c r="B262">
        <v>2020</v>
      </c>
      <c r="C262" t="s">
        <v>123</v>
      </c>
      <c r="D262" t="s">
        <v>646</v>
      </c>
      <c r="E262" t="s">
        <v>48</v>
      </c>
      <c r="F262" t="s">
        <v>726</v>
      </c>
      <c r="G262" t="s">
        <v>760</v>
      </c>
      <c r="H262" t="s">
        <v>493</v>
      </c>
      <c r="I262" t="s">
        <v>741</v>
      </c>
      <c r="J262" t="s">
        <v>347</v>
      </c>
      <c r="K262" t="s">
        <v>701</v>
      </c>
      <c r="L262" t="s">
        <v>293</v>
      </c>
      <c r="M262" t="s">
        <v>672</v>
      </c>
      <c r="N262" t="s">
        <v>539</v>
      </c>
      <c r="O262" t="s">
        <v>48</v>
      </c>
      <c r="P262" t="s">
        <v>550</v>
      </c>
      <c r="Q262" t="s">
        <v>48</v>
      </c>
      <c r="R262" t="s">
        <v>48</v>
      </c>
      <c r="S262" t="s">
        <v>48</v>
      </c>
      <c r="T262" t="s">
        <v>48</v>
      </c>
      <c r="U262" t="s">
        <v>760</v>
      </c>
      <c r="V262" t="s">
        <v>506</v>
      </c>
      <c r="W262" t="s">
        <v>48</v>
      </c>
      <c r="X262" t="s">
        <v>600</v>
      </c>
      <c r="Y262" t="s">
        <v>48</v>
      </c>
      <c r="Z262" t="s">
        <v>48</v>
      </c>
      <c r="AA262" t="s">
        <v>48</v>
      </c>
      <c r="AB262" t="s">
        <v>48</v>
      </c>
      <c r="AC262" t="s">
        <v>48</v>
      </c>
      <c r="AD262" t="s">
        <v>48</v>
      </c>
    </row>
    <row r="263" spans="1:30" x14ac:dyDescent="0.35">
      <c r="A263" t="s">
        <v>30</v>
      </c>
      <c r="B263">
        <v>2020</v>
      </c>
      <c r="C263" t="s">
        <v>136</v>
      </c>
      <c r="D263" t="s">
        <v>48</v>
      </c>
      <c r="E263" t="s">
        <v>48</v>
      </c>
      <c r="F263" t="s">
        <v>48</v>
      </c>
      <c r="G263" t="s">
        <v>48</v>
      </c>
      <c r="H263" t="s">
        <v>48</v>
      </c>
      <c r="I263" t="s">
        <v>48</v>
      </c>
      <c r="J263" t="s">
        <v>48</v>
      </c>
      <c r="K263" t="s">
        <v>48</v>
      </c>
      <c r="L263" t="s">
        <v>48</v>
      </c>
      <c r="M263" t="s">
        <v>48</v>
      </c>
      <c r="N263" t="s">
        <v>48</v>
      </c>
      <c r="O263" t="s">
        <v>48</v>
      </c>
      <c r="P263" t="s">
        <v>48</v>
      </c>
      <c r="Q263" t="s">
        <v>48</v>
      </c>
      <c r="R263" t="s">
        <v>48</v>
      </c>
      <c r="S263" t="s">
        <v>48</v>
      </c>
      <c r="T263" t="s">
        <v>48</v>
      </c>
      <c r="U263" t="s">
        <v>48</v>
      </c>
      <c r="V263" t="s">
        <v>48</v>
      </c>
      <c r="W263" t="s">
        <v>48</v>
      </c>
      <c r="X263" t="s">
        <v>48</v>
      </c>
      <c r="Y263" t="s">
        <v>48</v>
      </c>
      <c r="Z263" t="s">
        <v>48</v>
      </c>
      <c r="AA263" t="s">
        <v>48</v>
      </c>
      <c r="AB263" t="s">
        <v>48</v>
      </c>
      <c r="AC263" t="s">
        <v>48</v>
      </c>
      <c r="AD263" t="s">
        <v>48</v>
      </c>
    </row>
    <row r="264" spans="1:30" x14ac:dyDescent="0.35">
      <c r="A264" t="s">
        <v>54</v>
      </c>
      <c r="B264">
        <v>2020</v>
      </c>
      <c r="C264" t="s">
        <v>136</v>
      </c>
      <c r="D264" t="s">
        <v>48</v>
      </c>
      <c r="E264" t="s">
        <v>48</v>
      </c>
      <c r="F264" t="s">
        <v>48</v>
      </c>
      <c r="G264" t="s">
        <v>48</v>
      </c>
      <c r="H264" t="s">
        <v>48</v>
      </c>
      <c r="I264" t="s">
        <v>48</v>
      </c>
      <c r="J264" t="s">
        <v>48</v>
      </c>
      <c r="K264" t="s">
        <v>48</v>
      </c>
      <c r="L264" t="s">
        <v>48</v>
      </c>
      <c r="M264" t="s">
        <v>48</v>
      </c>
      <c r="N264" t="s">
        <v>48</v>
      </c>
      <c r="O264" t="s">
        <v>48</v>
      </c>
      <c r="P264" t="s">
        <v>48</v>
      </c>
      <c r="Q264" t="s">
        <v>48</v>
      </c>
      <c r="R264" t="s">
        <v>48</v>
      </c>
      <c r="S264" t="s">
        <v>48</v>
      </c>
      <c r="T264" t="s">
        <v>48</v>
      </c>
      <c r="U264" t="s">
        <v>48</v>
      </c>
      <c r="V264" t="s">
        <v>48</v>
      </c>
      <c r="W264" t="s">
        <v>48</v>
      </c>
      <c r="X264" t="s">
        <v>48</v>
      </c>
      <c r="Y264" t="s">
        <v>48</v>
      </c>
      <c r="Z264" t="s">
        <v>48</v>
      </c>
      <c r="AA264" t="s">
        <v>48</v>
      </c>
      <c r="AB264" t="s">
        <v>48</v>
      </c>
      <c r="AC264" t="s">
        <v>48</v>
      </c>
      <c r="AD264" t="s">
        <v>48</v>
      </c>
    </row>
    <row r="265" spans="1:30" x14ac:dyDescent="0.35">
      <c r="A265" t="s">
        <v>73</v>
      </c>
      <c r="B265">
        <v>2020</v>
      </c>
      <c r="C265" t="s">
        <v>136</v>
      </c>
      <c r="D265" t="s">
        <v>48</v>
      </c>
      <c r="E265" t="s">
        <v>48</v>
      </c>
      <c r="F265" t="s">
        <v>48</v>
      </c>
      <c r="G265" t="s">
        <v>48</v>
      </c>
      <c r="H265" t="s">
        <v>48</v>
      </c>
      <c r="I265" t="s">
        <v>48</v>
      </c>
      <c r="J265" t="s">
        <v>48</v>
      </c>
      <c r="K265" t="s">
        <v>48</v>
      </c>
      <c r="L265" t="s">
        <v>48</v>
      </c>
      <c r="M265" t="s">
        <v>48</v>
      </c>
      <c r="N265" t="s">
        <v>48</v>
      </c>
      <c r="O265" t="s">
        <v>48</v>
      </c>
      <c r="P265" t="s">
        <v>48</v>
      </c>
      <c r="Q265" t="s">
        <v>48</v>
      </c>
      <c r="R265" t="s">
        <v>48</v>
      </c>
      <c r="S265" t="s">
        <v>48</v>
      </c>
      <c r="T265" t="s">
        <v>48</v>
      </c>
      <c r="U265" t="s">
        <v>48</v>
      </c>
      <c r="V265" t="s">
        <v>48</v>
      </c>
      <c r="W265" t="s">
        <v>48</v>
      </c>
      <c r="X265" t="s">
        <v>48</v>
      </c>
      <c r="Y265" t="s">
        <v>48</v>
      </c>
      <c r="Z265" t="s">
        <v>48</v>
      </c>
      <c r="AA265" t="s">
        <v>48</v>
      </c>
      <c r="AB265" t="s">
        <v>48</v>
      </c>
      <c r="AC265" t="s">
        <v>48</v>
      </c>
      <c r="AD265" t="s">
        <v>48</v>
      </c>
    </row>
    <row r="266" spans="1:30" x14ac:dyDescent="0.35">
      <c r="A266" t="s">
        <v>30</v>
      </c>
      <c r="B266">
        <v>2020</v>
      </c>
      <c r="C266" t="s">
        <v>146</v>
      </c>
      <c r="D266" t="s">
        <v>655</v>
      </c>
      <c r="E266" t="s">
        <v>816</v>
      </c>
      <c r="F266" t="s">
        <v>692</v>
      </c>
      <c r="G266" t="s">
        <v>694</v>
      </c>
      <c r="H266" t="s">
        <v>498</v>
      </c>
      <c r="I266" t="s">
        <v>634</v>
      </c>
      <c r="J266" t="s">
        <v>684</v>
      </c>
      <c r="K266" t="s">
        <v>673</v>
      </c>
      <c r="L266" t="s">
        <v>115</v>
      </c>
      <c r="M266" t="s">
        <v>779</v>
      </c>
      <c r="N266" t="s">
        <v>455</v>
      </c>
      <c r="O266" t="s">
        <v>817</v>
      </c>
      <c r="P266" t="s">
        <v>725</v>
      </c>
      <c r="Q266" t="s">
        <v>818</v>
      </c>
      <c r="R266" t="s">
        <v>691</v>
      </c>
      <c r="S266" t="s">
        <v>463</v>
      </c>
      <c r="T266" t="s">
        <v>716</v>
      </c>
      <c r="U266" t="s">
        <v>48</v>
      </c>
      <c r="V266" t="s">
        <v>625</v>
      </c>
      <c r="W266" t="s">
        <v>693</v>
      </c>
      <c r="X266" t="s">
        <v>569</v>
      </c>
      <c r="Y266" t="s">
        <v>708</v>
      </c>
      <c r="Z266" t="s">
        <v>362</v>
      </c>
      <c r="AA266" t="s">
        <v>817</v>
      </c>
      <c r="AB266" t="s">
        <v>610</v>
      </c>
      <c r="AC266" t="s">
        <v>693</v>
      </c>
      <c r="AD266" t="s">
        <v>764</v>
      </c>
    </row>
    <row r="267" spans="1:30" x14ac:dyDescent="0.35">
      <c r="A267" t="s">
        <v>54</v>
      </c>
      <c r="B267">
        <v>2020</v>
      </c>
      <c r="C267" t="s">
        <v>146</v>
      </c>
      <c r="D267" t="s">
        <v>764</v>
      </c>
      <c r="E267" t="s">
        <v>802</v>
      </c>
      <c r="F267" t="s">
        <v>676</v>
      </c>
      <c r="G267" t="s">
        <v>770</v>
      </c>
      <c r="H267" t="s">
        <v>472</v>
      </c>
      <c r="I267" t="s">
        <v>194</v>
      </c>
      <c r="J267" t="s">
        <v>223</v>
      </c>
      <c r="K267" t="s">
        <v>359</v>
      </c>
      <c r="L267" t="s">
        <v>208</v>
      </c>
      <c r="M267" t="s">
        <v>343</v>
      </c>
      <c r="N267" t="s">
        <v>414</v>
      </c>
      <c r="O267" t="s">
        <v>624</v>
      </c>
      <c r="P267" t="s">
        <v>688</v>
      </c>
      <c r="Q267" t="s">
        <v>819</v>
      </c>
      <c r="R267" t="s">
        <v>706</v>
      </c>
      <c r="S267" t="s">
        <v>575</v>
      </c>
      <c r="T267" t="s">
        <v>674</v>
      </c>
      <c r="U267" t="s">
        <v>691</v>
      </c>
      <c r="V267" t="s">
        <v>485</v>
      </c>
      <c r="W267" t="s">
        <v>541</v>
      </c>
      <c r="X267" t="s">
        <v>425</v>
      </c>
      <c r="Y267" t="s">
        <v>304</v>
      </c>
      <c r="Z267" t="s">
        <v>639</v>
      </c>
      <c r="AA267" t="s">
        <v>556</v>
      </c>
      <c r="AB267" t="s">
        <v>633</v>
      </c>
      <c r="AC267" t="s">
        <v>616</v>
      </c>
      <c r="AD267" t="s">
        <v>671</v>
      </c>
    </row>
    <row r="268" spans="1:30" x14ac:dyDescent="0.35">
      <c r="A268" t="s">
        <v>73</v>
      </c>
      <c r="B268">
        <v>2020</v>
      </c>
      <c r="C268" t="s">
        <v>146</v>
      </c>
      <c r="D268" t="s">
        <v>697</v>
      </c>
      <c r="E268" t="s">
        <v>820</v>
      </c>
      <c r="F268" t="s">
        <v>550</v>
      </c>
      <c r="G268" t="s">
        <v>694</v>
      </c>
      <c r="H268" t="s">
        <v>528</v>
      </c>
      <c r="I268" t="s">
        <v>674</v>
      </c>
      <c r="J268" t="s">
        <v>821</v>
      </c>
      <c r="K268" t="s">
        <v>754</v>
      </c>
      <c r="L268" t="s">
        <v>139</v>
      </c>
      <c r="M268" t="s">
        <v>628</v>
      </c>
      <c r="N268" t="s">
        <v>636</v>
      </c>
      <c r="O268" t="s">
        <v>817</v>
      </c>
      <c r="P268" t="s">
        <v>199</v>
      </c>
      <c r="Q268" t="s">
        <v>216</v>
      </c>
      <c r="R268" t="s">
        <v>556</v>
      </c>
      <c r="S268" t="s">
        <v>630</v>
      </c>
      <c r="T268" t="s">
        <v>550</v>
      </c>
      <c r="U268" t="s">
        <v>691</v>
      </c>
      <c r="V268" t="s">
        <v>618</v>
      </c>
      <c r="W268" t="s">
        <v>720</v>
      </c>
      <c r="X268" t="s">
        <v>727</v>
      </c>
      <c r="Y268" t="s">
        <v>527</v>
      </c>
      <c r="Z268" t="s">
        <v>643</v>
      </c>
      <c r="AA268" t="s">
        <v>703</v>
      </c>
      <c r="AB268" t="s">
        <v>678</v>
      </c>
      <c r="AC268" t="s">
        <v>773</v>
      </c>
      <c r="AD268" t="s">
        <v>194</v>
      </c>
    </row>
    <row r="269" spans="1:30" x14ac:dyDescent="0.35">
      <c r="A269" t="s">
        <v>30</v>
      </c>
      <c r="B269">
        <v>2020</v>
      </c>
      <c r="C269" t="s">
        <v>163</v>
      </c>
      <c r="D269" t="s">
        <v>655</v>
      </c>
      <c r="E269" t="s">
        <v>816</v>
      </c>
      <c r="F269" t="s">
        <v>692</v>
      </c>
      <c r="G269" t="s">
        <v>694</v>
      </c>
      <c r="H269" t="s">
        <v>498</v>
      </c>
      <c r="I269" t="s">
        <v>634</v>
      </c>
      <c r="J269" t="s">
        <v>684</v>
      </c>
      <c r="K269" t="s">
        <v>673</v>
      </c>
      <c r="L269" t="s">
        <v>115</v>
      </c>
      <c r="M269" t="s">
        <v>779</v>
      </c>
      <c r="N269" t="s">
        <v>455</v>
      </c>
      <c r="O269" t="s">
        <v>817</v>
      </c>
      <c r="P269" t="s">
        <v>725</v>
      </c>
      <c r="Q269" t="s">
        <v>818</v>
      </c>
      <c r="R269" t="s">
        <v>691</v>
      </c>
      <c r="S269" t="s">
        <v>463</v>
      </c>
      <c r="T269" t="s">
        <v>716</v>
      </c>
      <c r="U269" t="s">
        <v>48</v>
      </c>
      <c r="V269" t="s">
        <v>625</v>
      </c>
      <c r="W269" t="s">
        <v>693</v>
      </c>
      <c r="X269" t="s">
        <v>569</v>
      </c>
      <c r="Y269" t="s">
        <v>708</v>
      </c>
      <c r="Z269" t="s">
        <v>362</v>
      </c>
      <c r="AA269" t="s">
        <v>817</v>
      </c>
      <c r="AB269" t="s">
        <v>610</v>
      </c>
      <c r="AC269" t="s">
        <v>693</v>
      </c>
      <c r="AD269" t="s">
        <v>764</v>
      </c>
    </row>
    <row r="270" spans="1:30" x14ac:dyDescent="0.35">
      <c r="A270" t="s">
        <v>54</v>
      </c>
      <c r="B270">
        <v>2020</v>
      </c>
      <c r="C270" t="s">
        <v>163</v>
      </c>
      <c r="D270" t="s">
        <v>764</v>
      </c>
      <c r="E270" t="s">
        <v>802</v>
      </c>
      <c r="F270" t="s">
        <v>676</v>
      </c>
      <c r="G270" t="s">
        <v>770</v>
      </c>
      <c r="H270" t="s">
        <v>472</v>
      </c>
      <c r="I270" t="s">
        <v>194</v>
      </c>
      <c r="J270" t="s">
        <v>223</v>
      </c>
      <c r="K270" t="s">
        <v>359</v>
      </c>
      <c r="L270" t="s">
        <v>208</v>
      </c>
      <c r="M270" t="s">
        <v>343</v>
      </c>
      <c r="N270" t="s">
        <v>414</v>
      </c>
      <c r="O270" t="s">
        <v>624</v>
      </c>
      <c r="P270" t="s">
        <v>688</v>
      </c>
      <c r="Q270" t="s">
        <v>819</v>
      </c>
      <c r="R270" t="s">
        <v>706</v>
      </c>
      <c r="S270" t="s">
        <v>575</v>
      </c>
      <c r="T270" t="s">
        <v>674</v>
      </c>
      <c r="U270" t="s">
        <v>691</v>
      </c>
      <c r="V270" t="s">
        <v>485</v>
      </c>
      <c r="W270" t="s">
        <v>541</v>
      </c>
      <c r="X270" t="s">
        <v>425</v>
      </c>
      <c r="Y270" t="s">
        <v>304</v>
      </c>
      <c r="Z270" t="s">
        <v>639</v>
      </c>
      <c r="AA270" t="s">
        <v>556</v>
      </c>
      <c r="AB270" t="s">
        <v>633</v>
      </c>
      <c r="AC270" t="s">
        <v>616</v>
      </c>
      <c r="AD270" t="s">
        <v>671</v>
      </c>
    </row>
    <row r="271" spans="1:30" x14ac:dyDescent="0.35">
      <c r="A271" t="s">
        <v>73</v>
      </c>
      <c r="B271">
        <v>2020</v>
      </c>
      <c r="C271" t="s">
        <v>163</v>
      </c>
      <c r="D271" t="s">
        <v>697</v>
      </c>
      <c r="E271" t="s">
        <v>820</v>
      </c>
      <c r="F271" t="s">
        <v>550</v>
      </c>
      <c r="G271" t="s">
        <v>694</v>
      </c>
      <c r="H271" t="s">
        <v>528</v>
      </c>
      <c r="I271" t="s">
        <v>674</v>
      </c>
      <c r="J271" t="s">
        <v>821</v>
      </c>
      <c r="K271" t="s">
        <v>754</v>
      </c>
      <c r="L271" t="s">
        <v>139</v>
      </c>
      <c r="M271" t="s">
        <v>628</v>
      </c>
      <c r="N271" t="s">
        <v>636</v>
      </c>
      <c r="O271" t="s">
        <v>817</v>
      </c>
      <c r="P271" t="s">
        <v>199</v>
      </c>
      <c r="Q271" t="s">
        <v>216</v>
      </c>
      <c r="R271" t="s">
        <v>556</v>
      </c>
      <c r="S271" t="s">
        <v>630</v>
      </c>
      <c r="T271" t="s">
        <v>550</v>
      </c>
      <c r="U271" t="s">
        <v>691</v>
      </c>
      <c r="V271" t="s">
        <v>618</v>
      </c>
      <c r="W271" t="s">
        <v>720</v>
      </c>
      <c r="X271" t="s">
        <v>727</v>
      </c>
      <c r="Y271" t="s">
        <v>527</v>
      </c>
      <c r="Z271" t="s">
        <v>643</v>
      </c>
      <c r="AA271" t="s">
        <v>703</v>
      </c>
      <c r="AB271" t="s">
        <v>678</v>
      </c>
      <c r="AC271" t="s">
        <v>773</v>
      </c>
      <c r="AD271" t="s">
        <v>194</v>
      </c>
    </row>
    <row r="272" spans="1:30" x14ac:dyDescent="0.35">
      <c r="A272" t="s">
        <v>30</v>
      </c>
      <c r="B272">
        <v>2020</v>
      </c>
      <c r="C272" t="s">
        <v>182</v>
      </c>
      <c r="D272" t="s">
        <v>700</v>
      </c>
      <c r="E272" t="s">
        <v>469</v>
      </c>
      <c r="F272" t="s">
        <v>652</v>
      </c>
      <c r="G272" t="s">
        <v>694</v>
      </c>
      <c r="H272" t="s">
        <v>578</v>
      </c>
      <c r="I272" t="s">
        <v>728</v>
      </c>
      <c r="J272" t="s">
        <v>822</v>
      </c>
      <c r="K272" t="s">
        <v>741</v>
      </c>
      <c r="L272" t="s">
        <v>139</v>
      </c>
      <c r="M272" t="s">
        <v>811</v>
      </c>
      <c r="N272" t="s">
        <v>651</v>
      </c>
      <c r="O272" t="s">
        <v>823</v>
      </c>
      <c r="P272" t="s">
        <v>352</v>
      </c>
      <c r="Q272" t="s">
        <v>824</v>
      </c>
      <c r="R272" t="s">
        <v>606</v>
      </c>
      <c r="S272" t="s">
        <v>664</v>
      </c>
      <c r="T272" t="s">
        <v>710</v>
      </c>
      <c r="U272" t="s">
        <v>48</v>
      </c>
      <c r="V272" t="s">
        <v>641</v>
      </c>
      <c r="W272" t="s">
        <v>737</v>
      </c>
      <c r="X272" t="s">
        <v>343</v>
      </c>
      <c r="Y272" t="s">
        <v>156</v>
      </c>
      <c r="Z272" t="s">
        <v>633</v>
      </c>
      <c r="AA272" t="s">
        <v>536</v>
      </c>
      <c r="AB272" t="s">
        <v>443</v>
      </c>
      <c r="AC272" t="s">
        <v>729</v>
      </c>
      <c r="AD272" t="s">
        <v>691</v>
      </c>
    </row>
    <row r="273" spans="1:30" x14ac:dyDescent="0.35">
      <c r="A273" t="s">
        <v>54</v>
      </c>
      <c r="B273">
        <v>2020</v>
      </c>
      <c r="C273" t="s">
        <v>182</v>
      </c>
      <c r="D273" t="s">
        <v>678</v>
      </c>
      <c r="E273" t="s">
        <v>825</v>
      </c>
      <c r="F273" t="s">
        <v>663</v>
      </c>
      <c r="G273" t="s">
        <v>770</v>
      </c>
      <c r="H273" t="s">
        <v>518</v>
      </c>
      <c r="I273" t="s">
        <v>663</v>
      </c>
      <c r="J273" t="s">
        <v>826</v>
      </c>
      <c r="K273" t="s">
        <v>711</v>
      </c>
      <c r="L273" t="s">
        <v>246</v>
      </c>
      <c r="M273" t="s">
        <v>811</v>
      </c>
      <c r="N273" t="s">
        <v>534</v>
      </c>
      <c r="O273" t="s">
        <v>731</v>
      </c>
      <c r="P273" t="s">
        <v>827</v>
      </c>
      <c r="Q273" t="s">
        <v>469</v>
      </c>
      <c r="R273" t="s">
        <v>463</v>
      </c>
      <c r="S273" t="s">
        <v>422</v>
      </c>
      <c r="T273" t="s">
        <v>662</v>
      </c>
      <c r="U273" t="s">
        <v>743</v>
      </c>
      <c r="V273" t="s">
        <v>547</v>
      </c>
      <c r="W273" t="s">
        <v>639</v>
      </c>
      <c r="X273" t="s">
        <v>646</v>
      </c>
      <c r="Y273" t="s">
        <v>517</v>
      </c>
      <c r="Z273" t="s">
        <v>580</v>
      </c>
      <c r="AA273" t="s">
        <v>743</v>
      </c>
      <c r="AB273" t="s">
        <v>478</v>
      </c>
      <c r="AC273" t="s">
        <v>250</v>
      </c>
      <c r="AD273" t="s">
        <v>596</v>
      </c>
    </row>
    <row r="274" spans="1:30" x14ac:dyDescent="0.35">
      <c r="A274" t="s">
        <v>73</v>
      </c>
      <c r="B274">
        <v>2020</v>
      </c>
      <c r="C274" t="s">
        <v>182</v>
      </c>
      <c r="D274" t="s">
        <v>684</v>
      </c>
      <c r="E274" t="s">
        <v>828</v>
      </c>
      <c r="F274" t="s">
        <v>671</v>
      </c>
      <c r="G274" t="s">
        <v>694</v>
      </c>
      <c r="H274" t="s">
        <v>429</v>
      </c>
      <c r="I274" t="s">
        <v>701</v>
      </c>
      <c r="J274" t="s">
        <v>228</v>
      </c>
      <c r="K274" t="s">
        <v>701</v>
      </c>
      <c r="L274" t="s">
        <v>273</v>
      </c>
      <c r="M274" t="s">
        <v>811</v>
      </c>
      <c r="N274" t="s">
        <v>531</v>
      </c>
      <c r="O274" t="s">
        <v>829</v>
      </c>
      <c r="P274" t="s">
        <v>688</v>
      </c>
      <c r="Q274" t="s">
        <v>830</v>
      </c>
      <c r="R274" t="s">
        <v>805</v>
      </c>
      <c r="S274" t="s">
        <v>659</v>
      </c>
      <c r="T274" t="s">
        <v>693</v>
      </c>
      <c r="U274" t="s">
        <v>743</v>
      </c>
      <c r="V274" t="s">
        <v>667</v>
      </c>
      <c r="W274" t="s">
        <v>652</v>
      </c>
      <c r="X274" t="s">
        <v>795</v>
      </c>
      <c r="Y274" t="s">
        <v>568</v>
      </c>
      <c r="Z274" t="s">
        <v>681</v>
      </c>
      <c r="AA274" t="s">
        <v>751</v>
      </c>
      <c r="AB274" t="s">
        <v>710</v>
      </c>
      <c r="AC274" t="s">
        <v>494</v>
      </c>
      <c r="AD274" t="s">
        <v>747</v>
      </c>
    </row>
    <row r="275" spans="1:30" x14ac:dyDescent="0.35">
      <c r="A275" t="s">
        <v>30</v>
      </c>
      <c r="B275">
        <v>2020</v>
      </c>
      <c r="C275" t="s">
        <v>197</v>
      </c>
      <c r="D275" t="s">
        <v>728</v>
      </c>
      <c r="E275" t="s">
        <v>831</v>
      </c>
      <c r="F275" t="s">
        <v>438</v>
      </c>
      <c r="G275" t="s">
        <v>770</v>
      </c>
      <c r="H275" t="s">
        <v>541</v>
      </c>
      <c r="I275" t="s">
        <v>773</v>
      </c>
      <c r="J275" t="s">
        <v>775</v>
      </c>
      <c r="K275" t="s">
        <v>664</v>
      </c>
      <c r="L275" t="s">
        <v>273</v>
      </c>
      <c r="M275" t="s">
        <v>811</v>
      </c>
      <c r="N275" t="s">
        <v>254</v>
      </c>
      <c r="O275" t="s">
        <v>749</v>
      </c>
      <c r="P275" t="s">
        <v>705</v>
      </c>
      <c r="Q275" t="s">
        <v>832</v>
      </c>
      <c r="R275" t="s">
        <v>783</v>
      </c>
      <c r="S275" t="s">
        <v>741</v>
      </c>
      <c r="T275" t="s">
        <v>676</v>
      </c>
      <c r="U275" t="s">
        <v>48</v>
      </c>
      <c r="V275" t="s">
        <v>720</v>
      </c>
      <c r="W275" t="s">
        <v>678</v>
      </c>
      <c r="X275" t="s">
        <v>593</v>
      </c>
      <c r="Y275" t="s">
        <v>592</v>
      </c>
      <c r="Z275" t="s">
        <v>699</v>
      </c>
      <c r="AA275" t="s">
        <v>329</v>
      </c>
      <c r="AB275" t="s">
        <v>776</v>
      </c>
      <c r="AC275" t="s">
        <v>778</v>
      </c>
      <c r="AD275" t="s">
        <v>783</v>
      </c>
    </row>
    <row r="276" spans="1:30" x14ac:dyDescent="0.35">
      <c r="A276" t="s">
        <v>54</v>
      </c>
      <c r="B276">
        <v>2020</v>
      </c>
      <c r="C276" t="s">
        <v>197</v>
      </c>
      <c r="D276" t="s">
        <v>648</v>
      </c>
      <c r="E276" t="s">
        <v>833</v>
      </c>
      <c r="F276" t="s">
        <v>717</v>
      </c>
      <c r="G276" t="s">
        <v>747</v>
      </c>
      <c r="H276" t="s">
        <v>377</v>
      </c>
      <c r="I276" t="s">
        <v>783</v>
      </c>
      <c r="J276" t="s">
        <v>834</v>
      </c>
      <c r="K276" t="s">
        <v>671</v>
      </c>
      <c r="L276" t="s">
        <v>213</v>
      </c>
      <c r="M276" t="s">
        <v>172</v>
      </c>
      <c r="N276" t="s">
        <v>555</v>
      </c>
      <c r="O276" t="s">
        <v>736</v>
      </c>
      <c r="P276" t="s">
        <v>835</v>
      </c>
      <c r="Q276" t="s">
        <v>836</v>
      </c>
      <c r="R276" t="s">
        <v>734</v>
      </c>
      <c r="S276" t="s">
        <v>528</v>
      </c>
      <c r="T276" t="s">
        <v>425</v>
      </c>
      <c r="U276" t="s">
        <v>702</v>
      </c>
      <c r="V276" t="s">
        <v>559</v>
      </c>
      <c r="W276" t="s">
        <v>254</v>
      </c>
      <c r="X276" t="s">
        <v>463</v>
      </c>
      <c r="Y276" t="s">
        <v>493</v>
      </c>
      <c r="Z276" t="s">
        <v>545</v>
      </c>
      <c r="AA276" t="s">
        <v>698</v>
      </c>
      <c r="AB276" t="s">
        <v>779</v>
      </c>
      <c r="AC276" t="s">
        <v>681</v>
      </c>
      <c r="AD276" t="s">
        <v>199</v>
      </c>
    </row>
    <row r="277" spans="1:30" x14ac:dyDescent="0.35">
      <c r="A277" t="s">
        <v>73</v>
      </c>
      <c r="B277">
        <v>2020</v>
      </c>
      <c r="C277" t="s">
        <v>197</v>
      </c>
      <c r="D277" t="s">
        <v>652</v>
      </c>
      <c r="E277" t="s">
        <v>837</v>
      </c>
      <c r="F277" t="s">
        <v>556</v>
      </c>
      <c r="G277" t="s">
        <v>443</v>
      </c>
      <c r="H277" t="s">
        <v>498</v>
      </c>
      <c r="I277" t="s">
        <v>754</v>
      </c>
      <c r="J277" t="s">
        <v>819</v>
      </c>
      <c r="K277" t="s">
        <v>661</v>
      </c>
      <c r="L277" t="s">
        <v>177</v>
      </c>
      <c r="M277" t="s">
        <v>712</v>
      </c>
      <c r="N277" t="s">
        <v>553</v>
      </c>
      <c r="O277" t="s">
        <v>656</v>
      </c>
      <c r="P277" t="s">
        <v>794</v>
      </c>
      <c r="Q277" t="s">
        <v>562</v>
      </c>
      <c r="R277" t="s">
        <v>770</v>
      </c>
      <c r="S277" t="s">
        <v>609</v>
      </c>
      <c r="T277" t="s">
        <v>359</v>
      </c>
      <c r="U277" t="s">
        <v>702</v>
      </c>
      <c r="V277" t="s">
        <v>579</v>
      </c>
      <c r="W277" t="s">
        <v>646</v>
      </c>
      <c r="X277" t="s">
        <v>760</v>
      </c>
      <c r="Y277" t="s">
        <v>605</v>
      </c>
      <c r="Z277" t="s">
        <v>713</v>
      </c>
      <c r="AA277" t="s">
        <v>709</v>
      </c>
      <c r="AB277" t="s">
        <v>487</v>
      </c>
      <c r="AC277" t="s">
        <v>463</v>
      </c>
      <c r="AD277" t="s">
        <v>691</v>
      </c>
    </row>
    <row r="278" spans="1:30" x14ac:dyDescent="0.35">
      <c r="A278" t="s">
        <v>30</v>
      </c>
      <c r="B278">
        <v>2020</v>
      </c>
      <c r="C278" t="s">
        <v>207</v>
      </c>
      <c r="D278" t="s">
        <v>681</v>
      </c>
      <c r="E278" t="s">
        <v>838</v>
      </c>
      <c r="F278" t="s">
        <v>707</v>
      </c>
      <c r="G278" t="s">
        <v>443</v>
      </c>
      <c r="H278" t="s">
        <v>415</v>
      </c>
      <c r="I278" t="s">
        <v>674</v>
      </c>
      <c r="J278" t="s">
        <v>839</v>
      </c>
      <c r="K278" t="s">
        <v>673</v>
      </c>
      <c r="L278" t="s">
        <v>268</v>
      </c>
      <c r="M278" t="s">
        <v>172</v>
      </c>
      <c r="N278" t="s">
        <v>650</v>
      </c>
      <c r="O278" t="s">
        <v>733</v>
      </c>
      <c r="P278" t="s">
        <v>355</v>
      </c>
      <c r="Q278" t="s">
        <v>840</v>
      </c>
      <c r="R278" t="s">
        <v>796</v>
      </c>
      <c r="S278" t="s">
        <v>722</v>
      </c>
      <c r="T278" t="s">
        <v>795</v>
      </c>
      <c r="U278" t="s">
        <v>48</v>
      </c>
      <c r="V278" t="s">
        <v>660</v>
      </c>
      <c r="W278" t="s">
        <v>359</v>
      </c>
      <c r="X278" t="s">
        <v>628</v>
      </c>
      <c r="Y278" t="s">
        <v>720</v>
      </c>
      <c r="Z278" t="s">
        <v>366</v>
      </c>
      <c r="AA278" t="s">
        <v>841</v>
      </c>
      <c r="AB278" t="s">
        <v>682</v>
      </c>
      <c r="AC278" t="s">
        <v>710</v>
      </c>
      <c r="AD278" t="s">
        <v>709</v>
      </c>
    </row>
    <row r="279" spans="1:30" x14ac:dyDescent="0.35">
      <c r="A279" t="s">
        <v>54</v>
      </c>
      <c r="B279">
        <v>2020</v>
      </c>
      <c r="C279" t="s">
        <v>207</v>
      </c>
      <c r="D279" t="s">
        <v>722</v>
      </c>
      <c r="E279" t="s">
        <v>842</v>
      </c>
      <c r="F279" t="s">
        <v>843</v>
      </c>
      <c r="G279" t="s">
        <v>778</v>
      </c>
      <c r="H279" t="s">
        <v>598</v>
      </c>
      <c r="I279" t="s">
        <v>796</v>
      </c>
      <c r="J279" t="s">
        <v>844</v>
      </c>
      <c r="K279" t="s">
        <v>633</v>
      </c>
      <c r="L279" t="s">
        <v>214</v>
      </c>
      <c r="M279" t="s">
        <v>835</v>
      </c>
      <c r="N279" t="s">
        <v>558</v>
      </c>
      <c r="O279" t="s">
        <v>843</v>
      </c>
      <c r="P279" t="s">
        <v>736</v>
      </c>
      <c r="Q279" t="s">
        <v>836</v>
      </c>
      <c r="R279" t="s">
        <v>654</v>
      </c>
      <c r="S279" t="s">
        <v>599</v>
      </c>
      <c r="T279" t="s">
        <v>643</v>
      </c>
      <c r="U279" t="s">
        <v>821</v>
      </c>
      <c r="V279" t="s">
        <v>485</v>
      </c>
      <c r="W279" t="s">
        <v>441</v>
      </c>
      <c r="X279" t="s">
        <v>769</v>
      </c>
      <c r="Y279" t="s">
        <v>530</v>
      </c>
      <c r="Z279" t="s">
        <v>616</v>
      </c>
      <c r="AA279" t="s">
        <v>796</v>
      </c>
      <c r="AB279" t="s">
        <v>845</v>
      </c>
      <c r="AC279" t="s">
        <v>644</v>
      </c>
      <c r="AD279" t="s">
        <v>478</v>
      </c>
    </row>
    <row r="280" spans="1:30" x14ac:dyDescent="0.35">
      <c r="A280" t="s">
        <v>73</v>
      </c>
      <c r="B280">
        <v>2020</v>
      </c>
      <c r="C280" t="s">
        <v>207</v>
      </c>
      <c r="D280" t="s">
        <v>637</v>
      </c>
      <c r="E280" t="s">
        <v>846</v>
      </c>
      <c r="F280" t="s">
        <v>723</v>
      </c>
      <c r="G280" t="s">
        <v>443</v>
      </c>
      <c r="H280" t="s">
        <v>501</v>
      </c>
      <c r="I280" t="s">
        <v>610</v>
      </c>
      <c r="J280" t="s">
        <v>847</v>
      </c>
      <c r="K280" t="s">
        <v>754</v>
      </c>
      <c r="L280" t="s">
        <v>227</v>
      </c>
      <c r="M280" t="s">
        <v>685</v>
      </c>
      <c r="N280" t="s">
        <v>451</v>
      </c>
      <c r="O280" t="s">
        <v>687</v>
      </c>
      <c r="P280" t="s">
        <v>723</v>
      </c>
      <c r="Q280" t="s">
        <v>848</v>
      </c>
      <c r="R280" t="s">
        <v>778</v>
      </c>
      <c r="S280" t="s">
        <v>592</v>
      </c>
      <c r="T280" t="s">
        <v>725</v>
      </c>
      <c r="U280" t="s">
        <v>821</v>
      </c>
      <c r="V280" t="s">
        <v>615</v>
      </c>
      <c r="W280" t="s">
        <v>646</v>
      </c>
      <c r="X280" t="s">
        <v>702</v>
      </c>
      <c r="Y280" t="s">
        <v>531</v>
      </c>
      <c r="Z280" t="s">
        <v>645</v>
      </c>
      <c r="AA280" t="s">
        <v>751</v>
      </c>
      <c r="AB280" t="s">
        <v>688</v>
      </c>
      <c r="AC280" t="s">
        <v>701</v>
      </c>
      <c r="AD280" t="s">
        <v>703</v>
      </c>
    </row>
    <row r="281" spans="1:30" x14ac:dyDescent="0.35">
      <c r="A281" t="s">
        <v>30</v>
      </c>
      <c r="B281">
        <v>2020</v>
      </c>
      <c r="C281" t="s">
        <v>233</v>
      </c>
      <c r="D281" t="s">
        <v>254</v>
      </c>
      <c r="E281" t="s">
        <v>849</v>
      </c>
      <c r="F281" t="s">
        <v>850</v>
      </c>
      <c r="G281" t="s">
        <v>704</v>
      </c>
      <c r="H281" t="s">
        <v>254</v>
      </c>
      <c r="I281" t="s">
        <v>645</v>
      </c>
      <c r="J281" t="s">
        <v>851</v>
      </c>
      <c r="K281" t="s">
        <v>724</v>
      </c>
      <c r="L281" t="s">
        <v>160</v>
      </c>
      <c r="M281" t="s">
        <v>852</v>
      </c>
      <c r="N281" t="s">
        <v>463</v>
      </c>
      <c r="O281" t="s">
        <v>536</v>
      </c>
      <c r="P281" t="s">
        <v>745</v>
      </c>
      <c r="Q281" t="s">
        <v>853</v>
      </c>
      <c r="R281" t="s">
        <v>702</v>
      </c>
      <c r="S281" t="s">
        <v>769</v>
      </c>
      <c r="T281" t="s">
        <v>743</v>
      </c>
      <c r="U281" t="s">
        <v>48</v>
      </c>
      <c r="V281" t="s">
        <v>637</v>
      </c>
      <c r="W281" t="s">
        <v>699</v>
      </c>
      <c r="X281" t="s">
        <v>474</v>
      </c>
      <c r="Y281" t="s">
        <v>665</v>
      </c>
      <c r="Z281" t="s">
        <v>443</v>
      </c>
      <c r="AA281" t="s">
        <v>749</v>
      </c>
      <c r="AB281" t="s">
        <v>682</v>
      </c>
      <c r="AC281" t="s">
        <v>663</v>
      </c>
      <c r="AD281" t="s">
        <v>779</v>
      </c>
    </row>
    <row r="282" spans="1:30" x14ac:dyDescent="0.35">
      <c r="A282" t="s">
        <v>54</v>
      </c>
      <c r="B282">
        <v>2020</v>
      </c>
      <c r="C282" t="s">
        <v>233</v>
      </c>
      <c r="D282" t="s">
        <v>718</v>
      </c>
      <c r="E282" t="s">
        <v>854</v>
      </c>
      <c r="F282" t="s">
        <v>540</v>
      </c>
      <c r="G282" t="s">
        <v>747</v>
      </c>
      <c r="H282" t="s">
        <v>572</v>
      </c>
      <c r="I282" t="s">
        <v>654</v>
      </c>
      <c r="J282" t="s">
        <v>855</v>
      </c>
      <c r="K282" t="s">
        <v>771</v>
      </c>
      <c r="L282" t="s">
        <v>193</v>
      </c>
      <c r="M282" t="s">
        <v>723</v>
      </c>
      <c r="N282" t="s">
        <v>510</v>
      </c>
      <c r="O282" t="s">
        <v>763</v>
      </c>
      <c r="P282" t="s">
        <v>813</v>
      </c>
      <c r="Q282" t="s">
        <v>856</v>
      </c>
      <c r="R282" t="s">
        <v>746</v>
      </c>
      <c r="S282" t="s">
        <v>516</v>
      </c>
      <c r="T282" t="s">
        <v>726</v>
      </c>
      <c r="U282" t="s">
        <v>794</v>
      </c>
      <c r="V282" t="s">
        <v>619</v>
      </c>
      <c r="W282" t="s">
        <v>441</v>
      </c>
      <c r="X282" t="s">
        <v>359</v>
      </c>
      <c r="Y282" t="s">
        <v>422</v>
      </c>
      <c r="Z282" t="s">
        <v>630</v>
      </c>
      <c r="AA282" t="s">
        <v>703</v>
      </c>
      <c r="AB282" t="s">
        <v>714</v>
      </c>
      <c r="AC282" t="s">
        <v>713</v>
      </c>
      <c r="AD282" t="s">
        <v>748</v>
      </c>
    </row>
    <row r="283" spans="1:30" x14ac:dyDescent="0.35">
      <c r="A283" t="s">
        <v>73</v>
      </c>
      <c r="B283">
        <v>2020</v>
      </c>
      <c r="C283" t="s">
        <v>233</v>
      </c>
      <c r="D283" t="s">
        <v>660</v>
      </c>
      <c r="E283" t="s">
        <v>857</v>
      </c>
      <c r="F283" t="s">
        <v>597</v>
      </c>
      <c r="G283" t="s">
        <v>704</v>
      </c>
      <c r="H283" t="s">
        <v>565</v>
      </c>
      <c r="I283" t="s">
        <v>652</v>
      </c>
      <c r="J283" t="s">
        <v>858</v>
      </c>
      <c r="K283" t="s">
        <v>356</v>
      </c>
      <c r="L283" t="s">
        <v>198</v>
      </c>
      <c r="M283" t="s">
        <v>817</v>
      </c>
      <c r="N283" t="s">
        <v>645</v>
      </c>
      <c r="O283" t="s">
        <v>502</v>
      </c>
      <c r="P283" t="s">
        <v>742</v>
      </c>
      <c r="Q283" t="s">
        <v>859</v>
      </c>
      <c r="R283" t="s">
        <v>710</v>
      </c>
      <c r="S283" t="s">
        <v>625</v>
      </c>
      <c r="T283" t="s">
        <v>699</v>
      </c>
      <c r="U283" t="s">
        <v>794</v>
      </c>
      <c r="V283" t="s">
        <v>156</v>
      </c>
      <c r="W283" t="s">
        <v>601</v>
      </c>
      <c r="X283" t="s">
        <v>767</v>
      </c>
      <c r="Y283" t="s">
        <v>541</v>
      </c>
      <c r="Z283" t="s">
        <v>652</v>
      </c>
      <c r="AA283" t="s">
        <v>803</v>
      </c>
      <c r="AB283" t="s">
        <v>586</v>
      </c>
      <c r="AC283" t="s">
        <v>600</v>
      </c>
      <c r="AD283" t="s">
        <v>487</v>
      </c>
    </row>
    <row r="284" spans="1:30" x14ac:dyDescent="0.35">
      <c r="A284" t="s">
        <v>30</v>
      </c>
      <c r="B284">
        <v>2020</v>
      </c>
      <c r="C284" t="s">
        <v>242</v>
      </c>
      <c r="D284" t="s">
        <v>592</v>
      </c>
      <c r="E284" t="s">
        <v>860</v>
      </c>
      <c r="F284" t="s">
        <v>861</v>
      </c>
      <c r="G284" t="s">
        <v>199</v>
      </c>
      <c r="H284" t="s">
        <v>463</v>
      </c>
      <c r="I284" t="s">
        <v>686</v>
      </c>
      <c r="J284" t="s">
        <v>862</v>
      </c>
      <c r="K284" t="s">
        <v>628</v>
      </c>
      <c r="L284" t="s">
        <v>231</v>
      </c>
      <c r="M284" t="s">
        <v>590</v>
      </c>
      <c r="N284" t="s">
        <v>770</v>
      </c>
      <c r="O284" t="s">
        <v>863</v>
      </c>
      <c r="P284" t="s">
        <v>757</v>
      </c>
      <c r="Q284" t="s">
        <v>864</v>
      </c>
      <c r="R284" t="s">
        <v>688</v>
      </c>
      <c r="S284" t="s">
        <v>678</v>
      </c>
      <c r="T284" t="s">
        <v>702</v>
      </c>
      <c r="U284" t="s">
        <v>48</v>
      </c>
      <c r="V284" t="s">
        <v>646</v>
      </c>
      <c r="W284" t="s">
        <v>770</v>
      </c>
      <c r="X284" t="s">
        <v>749</v>
      </c>
      <c r="Y284" t="s">
        <v>720</v>
      </c>
      <c r="Z284" t="s">
        <v>747</v>
      </c>
      <c r="AA284" t="s">
        <v>656</v>
      </c>
      <c r="AB284" t="s">
        <v>669</v>
      </c>
      <c r="AC284" t="s">
        <v>478</v>
      </c>
      <c r="AD284" t="s">
        <v>668</v>
      </c>
    </row>
    <row r="285" spans="1:30" x14ac:dyDescent="0.35">
      <c r="A285" t="s">
        <v>54</v>
      </c>
      <c r="B285">
        <v>2020</v>
      </c>
      <c r="C285" t="s">
        <v>242</v>
      </c>
      <c r="D285" t="s">
        <v>494</v>
      </c>
      <c r="E285" t="s">
        <v>865</v>
      </c>
      <c r="F285" t="s">
        <v>866</v>
      </c>
      <c r="G285" t="s">
        <v>466</v>
      </c>
      <c r="H285" t="s">
        <v>589</v>
      </c>
      <c r="I285" t="s">
        <v>718</v>
      </c>
      <c r="J285" t="s">
        <v>867</v>
      </c>
      <c r="K285" t="s">
        <v>823</v>
      </c>
      <c r="L285" t="s">
        <v>221</v>
      </c>
      <c r="M285" t="s">
        <v>733</v>
      </c>
      <c r="N285" t="s">
        <v>689</v>
      </c>
      <c r="O285" t="s">
        <v>868</v>
      </c>
      <c r="P285" t="s">
        <v>813</v>
      </c>
      <c r="Q285" t="s">
        <v>869</v>
      </c>
      <c r="R285" t="s">
        <v>737</v>
      </c>
      <c r="S285" t="s">
        <v>544</v>
      </c>
      <c r="T285" t="s">
        <v>697</v>
      </c>
      <c r="U285" t="s">
        <v>487</v>
      </c>
      <c r="V285" t="s">
        <v>444</v>
      </c>
      <c r="W285" t="s">
        <v>492</v>
      </c>
      <c r="X285" t="s">
        <v>596</v>
      </c>
      <c r="Y285" t="s">
        <v>537</v>
      </c>
      <c r="Z285" t="s">
        <v>609</v>
      </c>
      <c r="AA285" t="s">
        <v>586</v>
      </c>
      <c r="AB285" t="s">
        <v>714</v>
      </c>
      <c r="AC285" t="s">
        <v>728</v>
      </c>
      <c r="AD285" t="s">
        <v>586</v>
      </c>
    </row>
    <row r="286" spans="1:30" x14ac:dyDescent="0.35">
      <c r="A286" t="s">
        <v>73</v>
      </c>
      <c r="B286">
        <v>2020</v>
      </c>
      <c r="C286" t="s">
        <v>242</v>
      </c>
      <c r="D286" t="s">
        <v>681</v>
      </c>
      <c r="E286" t="s">
        <v>857</v>
      </c>
      <c r="F286" t="s">
        <v>870</v>
      </c>
      <c r="G286" t="s">
        <v>716</v>
      </c>
      <c r="H286" t="s">
        <v>713</v>
      </c>
      <c r="I286" t="s">
        <v>649</v>
      </c>
      <c r="J286" t="s">
        <v>871</v>
      </c>
      <c r="K286" t="s">
        <v>758</v>
      </c>
      <c r="L286" t="s">
        <v>268</v>
      </c>
      <c r="M286" t="s">
        <v>739</v>
      </c>
      <c r="N286" t="s">
        <v>601</v>
      </c>
      <c r="O286" t="s">
        <v>843</v>
      </c>
      <c r="P286" t="s">
        <v>459</v>
      </c>
      <c r="Q286" t="s">
        <v>872</v>
      </c>
      <c r="R286" t="s">
        <v>795</v>
      </c>
      <c r="S286" t="s">
        <v>254</v>
      </c>
      <c r="T286" t="s">
        <v>443</v>
      </c>
      <c r="U286" t="s">
        <v>487</v>
      </c>
      <c r="V286" t="s">
        <v>592</v>
      </c>
      <c r="W286" t="s">
        <v>718</v>
      </c>
      <c r="X286" t="s">
        <v>719</v>
      </c>
      <c r="Y286" t="s">
        <v>589</v>
      </c>
      <c r="Z286" t="s">
        <v>744</v>
      </c>
      <c r="AA286" t="s">
        <v>873</v>
      </c>
      <c r="AB286" t="s">
        <v>672</v>
      </c>
      <c r="AC286" t="s">
        <v>610</v>
      </c>
      <c r="AD286" t="s">
        <v>454</v>
      </c>
    </row>
    <row r="287" spans="1:30" x14ac:dyDescent="0.35">
      <c r="A287" t="s">
        <v>30</v>
      </c>
      <c r="B287">
        <v>2021</v>
      </c>
      <c r="C287" t="s">
        <v>31</v>
      </c>
      <c r="D287" t="s">
        <v>659</v>
      </c>
      <c r="E287" t="s">
        <v>874</v>
      </c>
      <c r="F287" t="s">
        <v>861</v>
      </c>
      <c r="G287" t="s">
        <v>199</v>
      </c>
      <c r="H287" t="s">
        <v>721</v>
      </c>
      <c r="I287" t="s">
        <v>773</v>
      </c>
      <c r="J287" t="s">
        <v>875</v>
      </c>
      <c r="K287" t="s">
        <v>628</v>
      </c>
      <c r="L287" t="s">
        <v>159</v>
      </c>
      <c r="M287" t="s">
        <v>757</v>
      </c>
      <c r="N287" t="s">
        <v>705</v>
      </c>
      <c r="O287" t="s">
        <v>532</v>
      </c>
      <c r="P287" t="s">
        <v>355</v>
      </c>
      <c r="Q287" t="s">
        <v>876</v>
      </c>
      <c r="R287" t="s">
        <v>709</v>
      </c>
      <c r="S287" t="s">
        <v>366</v>
      </c>
      <c r="T287" t="s">
        <v>356</v>
      </c>
      <c r="U287" t="s">
        <v>48</v>
      </c>
      <c r="V287" t="s">
        <v>754</v>
      </c>
      <c r="W287" t="s">
        <v>747</v>
      </c>
      <c r="X287" t="s">
        <v>841</v>
      </c>
      <c r="Y287" t="s">
        <v>637</v>
      </c>
      <c r="Z287" t="s">
        <v>606</v>
      </c>
      <c r="AA287" t="s">
        <v>590</v>
      </c>
      <c r="AB287" t="s">
        <v>682</v>
      </c>
      <c r="AC287" t="s">
        <v>724</v>
      </c>
      <c r="AD287" t="s">
        <v>751</v>
      </c>
    </row>
    <row r="288" spans="1:30" x14ac:dyDescent="0.35">
      <c r="A288" t="s">
        <v>54</v>
      </c>
      <c r="B288">
        <v>2021</v>
      </c>
      <c r="C288" t="s">
        <v>31</v>
      </c>
      <c r="D288" t="s">
        <v>635</v>
      </c>
      <c r="E288" t="s">
        <v>877</v>
      </c>
      <c r="F288" t="s">
        <v>878</v>
      </c>
      <c r="G288" t="s">
        <v>727</v>
      </c>
      <c r="H288" t="s">
        <v>506</v>
      </c>
      <c r="I288" t="s">
        <v>735</v>
      </c>
      <c r="J288" t="s">
        <v>879</v>
      </c>
      <c r="K288" t="s">
        <v>350</v>
      </c>
      <c r="L288" t="s">
        <v>208</v>
      </c>
      <c r="M288" t="s">
        <v>739</v>
      </c>
      <c r="N288" t="s">
        <v>686</v>
      </c>
      <c r="O288" t="s">
        <v>761</v>
      </c>
      <c r="P288" t="s">
        <v>745</v>
      </c>
      <c r="Q288" t="s">
        <v>880</v>
      </c>
      <c r="R288" t="s">
        <v>556</v>
      </c>
      <c r="S288" t="s">
        <v>619</v>
      </c>
      <c r="T288" t="s">
        <v>734</v>
      </c>
      <c r="U288" t="s">
        <v>324</v>
      </c>
      <c r="V288" t="s">
        <v>579</v>
      </c>
      <c r="W288" t="s">
        <v>245</v>
      </c>
      <c r="X288" t="s">
        <v>716</v>
      </c>
      <c r="Y288" t="s">
        <v>564</v>
      </c>
      <c r="Z288" t="s">
        <v>254</v>
      </c>
      <c r="AA288" t="s">
        <v>705</v>
      </c>
      <c r="AB288" t="s">
        <v>324</v>
      </c>
      <c r="AC288" t="s">
        <v>700</v>
      </c>
      <c r="AD288" t="s">
        <v>448</v>
      </c>
    </row>
    <row r="289" spans="1:30" x14ac:dyDescent="0.35">
      <c r="A289" t="s">
        <v>73</v>
      </c>
      <c r="B289">
        <v>2021</v>
      </c>
      <c r="C289" t="s">
        <v>31</v>
      </c>
      <c r="D289" t="s">
        <v>625</v>
      </c>
      <c r="E289" t="s">
        <v>495</v>
      </c>
      <c r="F289" t="s">
        <v>870</v>
      </c>
      <c r="G289" t="s">
        <v>716</v>
      </c>
      <c r="H289" t="s">
        <v>754</v>
      </c>
      <c r="I289" t="s">
        <v>697</v>
      </c>
      <c r="J289" t="s">
        <v>881</v>
      </c>
      <c r="K289" t="s">
        <v>474</v>
      </c>
      <c r="L289" t="s">
        <v>126</v>
      </c>
      <c r="M289" t="s">
        <v>732</v>
      </c>
      <c r="N289" t="s">
        <v>194</v>
      </c>
      <c r="O289" t="s">
        <v>882</v>
      </c>
      <c r="P289" t="s">
        <v>685</v>
      </c>
      <c r="Q289" t="s">
        <v>883</v>
      </c>
      <c r="R289" t="s">
        <v>743</v>
      </c>
      <c r="S289" t="s">
        <v>665</v>
      </c>
      <c r="T289" t="s">
        <v>466</v>
      </c>
      <c r="U289" t="s">
        <v>324</v>
      </c>
      <c r="V289" t="s">
        <v>690</v>
      </c>
      <c r="W289" t="s">
        <v>463</v>
      </c>
      <c r="X289" t="s">
        <v>696</v>
      </c>
      <c r="Y289" t="s">
        <v>618</v>
      </c>
      <c r="Z289" t="s">
        <v>697</v>
      </c>
      <c r="AA289" t="s">
        <v>707</v>
      </c>
      <c r="AB289" t="s">
        <v>356</v>
      </c>
      <c r="AC289" t="s">
        <v>737</v>
      </c>
      <c r="AD289" t="s">
        <v>717</v>
      </c>
    </row>
    <row r="290" spans="1:30" x14ac:dyDescent="0.35">
      <c r="A290" t="s">
        <v>30</v>
      </c>
      <c r="B290">
        <v>2021</v>
      </c>
      <c r="C290" t="s">
        <v>85</v>
      </c>
      <c r="D290" t="s">
        <v>563</v>
      </c>
      <c r="E290" t="s">
        <v>884</v>
      </c>
      <c r="F290" t="s">
        <v>679</v>
      </c>
      <c r="G290" t="s">
        <v>727</v>
      </c>
      <c r="H290" t="s">
        <v>739</v>
      </c>
      <c r="I290" t="s">
        <v>662</v>
      </c>
      <c r="J290" t="s">
        <v>718</v>
      </c>
      <c r="K290" t="s">
        <v>719</v>
      </c>
      <c r="L290" t="s">
        <v>229</v>
      </c>
      <c r="M290" t="s">
        <v>792</v>
      </c>
      <c r="N290" t="s">
        <v>811</v>
      </c>
      <c r="O290" t="s">
        <v>468</v>
      </c>
      <c r="P290" t="s">
        <v>691</v>
      </c>
      <c r="Q290" t="s">
        <v>883</v>
      </c>
      <c r="R290" t="s">
        <v>593</v>
      </c>
      <c r="S290" t="s">
        <v>747</v>
      </c>
      <c r="T290" t="s">
        <v>487</v>
      </c>
      <c r="U290" t="s">
        <v>48</v>
      </c>
      <c r="V290" t="s">
        <v>727</v>
      </c>
      <c r="W290" t="s">
        <v>721</v>
      </c>
      <c r="X290" t="s">
        <v>532</v>
      </c>
      <c r="Y290" t="s">
        <v>734</v>
      </c>
      <c r="Z290" t="s">
        <v>688</v>
      </c>
      <c r="AA290" t="s">
        <v>863</v>
      </c>
      <c r="AB290" t="s">
        <v>478</v>
      </c>
      <c r="AC290" t="s">
        <v>767</v>
      </c>
      <c r="AD290" t="s">
        <v>748</v>
      </c>
    </row>
    <row r="291" spans="1:30" x14ac:dyDescent="0.35">
      <c r="A291" t="s">
        <v>54</v>
      </c>
      <c r="B291">
        <v>2021</v>
      </c>
      <c r="C291" t="s">
        <v>85</v>
      </c>
      <c r="D291" t="s">
        <v>700</v>
      </c>
      <c r="E291" t="s">
        <v>885</v>
      </c>
      <c r="F291" t="s">
        <v>787</v>
      </c>
      <c r="G291" t="s">
        <v>606</v>
      </c>
      <c r="H291" t="s">
        <v>550</v>
      </c>
      <c r="I291" t="s">
        <v>199</v>
      </c>
      <c r="J291" t="s">
        <v>886</v>
      </c>
      <c r="K291" t="s">
        <v>779</v>
      </c>
      <c r="L291" t="s">
        <v>160</v>
      </c>
      <c r="M291" t="s">
        <v>841</v>
      </c>
      <c r="N291" t="s">
        <v>601</v>
      </c>
      <c r="O291" t="s">
        <v>804</v>
      </c>
      <c r="P291" t="s">
        <v>479</v>
      </c>
      <c r="Q291" t="s">
        <v>887</v>
      </c>
      <c r="R291" t="s">
        <v>466</v>
      </c>
      <c r="S291" t="s">
        <v>498</v>
      </c>
      <c r="T291" t="s">
        <v>194</v>
      </c>
      <c r="U291" t="s">
        <v>779</v>
      </c>
      <c r="V291" t="s">
        <v>706</v>
      </c>
      <c r="W291" t="s">
        <v>645</v>
      </c>
      <c r="X291" t="s">
        <v>702</v>
      </c>
      <c r="Y291" t="s">
        <v>372</v>
      </c>
      <c r="Z291" t="s">
        <v>670</v>
      </c>
      <c r="AA291" t="s">
        <v>669</v>
      </c>
      <c r="AB291" t="s">
        <v>748</v>
      </c>
      <c r="AC291" t="s">
        <v>664</v>
      </c>
      <c r="AD291" t="s">
        <v>821</v>
      </c>
    </row>
    <row r="292" spans="1:30" x14ac:dyDescent="0.35">
      <c r="A292" t="s">
        <v>73</v>
      </c>
      <c r="B292">
        <v>2021</v>
      </c>
      <c r="C292" t="s">
        <v>85</v>
      </c>
      <c r="D292" t="s">
        <v>609</v>
      </c>
      <c r="E292" t="s">
        <v>883</v>
      </c>
      <c r="F292" t="s">
        <v>622</v>
      </c>
      <c r="G292" t="s">
        <v>691</v>
      </c>
      <c r="H292" t="s">
        <v>771</v>
      </c>
      <c r="I292" t="s">
        <v>600</v>
      </c>
      <c r="J292" t="s">
        <v>811</v>
      </c>
      <c r="K292" t="s">
        <v>343</v>
      </c>
      <c r="L292" t="s">
        <v>101</v>
      </c>
      <c r="M292" t="s">
        <v>753</v>
      </c>
      <c r="N292" t="s">
        <v>743</v>
      </c>
      <c r="O292" t="s">
        <v>543</v>
      </c>
      <c r="P292" t="s">
        <v>586</v>
      </c>
      <c r="Q292" t="s">
        <v>888</v>
      </c>
      <c r="R292" t="s">
        <v>767</v>
      </c>
      <c r="S292" t="s">
        <v>650</v>
      </c>
      <c r="T292" t="s">
        <v>740</v>
      </c>
      <c r="U292" t="s">
        <v>779</v>
      </c>
      <c r="V292" t="s">
        <v>366</v>
      </c>
      <c r="W292" t="s">
        <v>754</v>
      </c>
      <c r="X292" t="s">
        <v>835</v>
      </c>
      <c r="Y292" t="s">
        <v>441</v>
      </c>
      <c r="Z292" t="s">
        <v>648</v>
      </c>
      <c r="AA292" t="s">
        <v>628</v>
      </c>
      <c r="AB292" t="s">
        <v>740</v>
      </c>
      <c r="AC292" t="s">
        <v>770</v>
      </c>
      <c r="AD292" t="s">
        <v>669</v>
      </c>
    </row>
    <row r="293" spans="1:30" x14ac:dyDescent="0.35">
      <c r="A293" t="s">
        <v>30</v>
      </c>
      <c r="B293">
        <v>2021</v>
      </c>
      <c r="C293" t="s">
        <v>107</v>
      </c>
      <c r="D293" t="s">
        <v>642</v>
      </c>
      <c r="E293" t="s">
        <v>889</v>
      </c>
      <c r="F293" t="s">
        <v>687</v>
      </c>
      <c r="G293" t="s">
        <v>663</v>
      </c>
      <c r="H293" t="s">
        <v>339</v>
      </c>
      <c r="I293" t="s">
        <v>654</v>
      </c>
      <c r="J293" t="s">
        <v>369</v>
      </c>
      <c r="K293" t="s">
        <v>707</v>
      </c>
      <c r="L293" t="s">
        <v>174</v>
      </c>
      <c r="M293" t="s">
        <v>732</v>
      </c>
      <c r="N293" t="s">
        <v>766</v>
      </c>
      <c r="O293" t="s">
        <v>890</v>
      </c>
      <c r="P293" t="s">
        <v>663</v>
      </c>
      <c r="Q293" t="s">
        <v>891</v>
      </c>
      <c r="R293" t="s">
        <v>355</v>
      </c>
      <c r="S293" t="s">
        <v>727</v>
      </c>
      <c r="T293" t="s">
        <v>454</v>
      </c>
      <c r="U293" t="s">
        <v>892</v>
      </c>
      <c r="V293" t="s">
        <v>448</v>
      </c>
      <c r="W293" t="s">
        <v>721</v>
      </c>
      <c r="X293" t="s">
        <v>483</v>
      </c>
      <c r="Y293" t="s">
        <v>711</v>
      </c>
      <c r="Z293" t="s">
        <v>893</v>
      </c>
      <c r="AA293" t="s">
        <v>502</v>
      </c>
      <c r="AB293" t="s">
        <v>805</v>
      </c>
      <c r="AC293" t="s">
        <v>717</v>
      </c>
      <c r="AD293" t="s">
        <v>748</v>
      </c>
    </row>
    <row r="294" spans="1:30" x14ac:dyDescent="0.35">
      <c r="A294" t="s">
        <v>54</v>
      </c>
      <c r="B294">
        <v>2021</v>
      </c>
      <c r="C294" t="s">
        <v>107</v>
      </c>
      <c r="D294" t="s">
        <v>637</v>
      </c>
      <c r="E294" t="s">
        <v>894</v>
      </c>
      <c r="F294" t="s">
        <v>742</v>
      </c>
      <c r="G294" t="s">
        <v>760</v>
      </c>
      <c r="H294" t="s">
        <v>703</v>
      </c>
      <c r="I294" t="s">
        <v>717</v>
      </c>
      <c r="J294" t="s">
        <v>868</v>
      </c>
      <c r="K294" t="s">
        <v>329</v>
      </c>
      <c r="L294" t="s">
        <v>183</v>
      </c>
      <c r="M294" t="s">
        <v>677</v>
      </c>
      <c r="N294" t="s">
        <v>600</v>
      </c>
      <c r="O294" t="s">
        <v>529</v>
      </c>
      <c r="P294" t="s">
        <v>474</v>
      </c>
      <c r="Q294" t="s">
        <v>895</v>
      </c>
      <c r="R294" t="s">
        <v>606</v>
      </c>
      <c r="S294" t="s">
        <v>567</v>
      </c>
      <c r="T294" t="s">
        <v>735</v>
      </c>
      <c r="U294" t="s">
        <v>827</v>
      </c>
      <c r="V294" t="s">
        <v>721</v>
      </c>
      <c r="W294" t="s">
        <v>674</v>
      </c>
      <c r="X294" t="s">
        <v>586</v>
      </c>
      <c r="Y294" t="s">
        <v>730</v>
      </c>
      <c r="Z294" t="s">
        <v>647</v>
      </c>
      <c r="AA294" t="s">
        <v>450</v>
      </c>
      <c r="AB294" t="s">
        <v>698</v>
      </c>
      <c r="AC294" t="s">
        <v>463</v>
      </c>
      <c r="AD294" t="s">
        <v>586</v>
      </c>
    </row>
    <row r="295" spans="1:30" x14ac:dyDescent="0.35">
      <c r="A295" t="s">
        <v>73</v>
      </c>
      <c r="B295">
        <v>2021</v>
      </c>
      <c r="C295" t="s">
        <v>107</v>
      </c>
      <c r="D295" t="s">
        <v>506</v>
      </c>
      <c r="E295" t="s">
        <v>896</v>
      </c>
      <c r="F295" t="s">
        <v>502</v>
      </c>
      <c r="G295" t="s">
        <v>698</v>
      </c>
      <c r="H295" t="s">
        <v>897</v>
      </c>
      <c r="I295" t="s">
        <v>778</v>
      </c>
      <c r="J295" t="s">
        <v>438</v>
      </c>
      <c r="K295" t="s">
        <v>779</v>
      </c>
      <c r="L295" t="s">
        <v>180</v>
      </c>
      <c r="M295" t="s">
        <v>590</v>
      </c>
      <c r="N295" t="s">
        <v>821</v>
      </c>
      <c r="O295" t="s">
        <v>339</v>
      </c>
      <c r="P295" t="s">
        <v>748</v>
      </c>
      <c r="Q295" t="s">
        <v>898</v>
      </c>
      <c r="R295" t="s">
        <v>893</v>
      </c>
      <c r="S295" t="s">
        <v>690</v>
      </c>
      <c r="T295" t="s">
        <v>703</v>
      </c>
      <c r="U295" t="s">
        <v>827</v>
      </c>
      <c r="V295" t="s">
        <v>743</v>
      </c>
      <c r="W295" t="s">
        <v>610</v>
      </c>
      <c r="X295" t="s">
        <v>624</v>
      </c>
      <c r="Y295" t="s">
        <v>644</v>
      </c>
      <c r="Z295" t="s">
        <v>735</v>
      </c>
      <c r="AA295" t="s">
        <v>758</v>
      </c>
      <c r="AB295" t="s">
        <v>704</v>
      </c>
      <c r="AC295" t="s">
        <v>704</v>
      </c>
      <c r="AD295" t="s">
        <v>356</v>
      </c>
    </row>
    <row r="296" spans="1:30" x14ac:dyDescent="0.35">
      <c r="A296" t="s">
        <v>30</v>
      </c>
      <c r="B296">
        <v>2021</v>
      </c>
      <c r="C296" t="s">
        <v>123</v>
      </c>
      <c r="D296" t="s">
        <v>565</v>
      </c>
      <c r="E296" t="s">
        <v>854</v>
      </c>
      <c r="F296" t="s">
        <v>745</v>
      </c>
      <c r="G296" t="s">
        <v>795</v>
      </c>
      <c r="H296" t="s">
        <v>899</v>
      </c>
      <c r="I296" t="s">
        <v>766</v>
      </c>
      <c r="J296" t="s">
        <v>493</v>
      </c>
      <c r="K296" t="s">
        <v>329</v>
      </c>
      <c r="L296" t="s">
        <v>157</v>
      </c>
      <c r="M296" t="s">
        <v>736</v>
      </c>
      <c r="N296" t="s">
        <v>733</v>
      </c>
      <c r="O296" t="s">
        <v>810</v>
      </c>
      <c r="P296" t="s">
        <v>760</v>
      </c>
      <c r="Q296" t="s">
        <v>900</v>
      </c>
      <c r="R296" t="s">
        <v>668</v>
      </c>
      <c r="S296" t="s">
        <v>606</v>
      </c>
      <c r="T296" t="s">
        <v>827</v>
      </c>
      <c r="U296" t="s">
        <v>892</v>
      </c>
      <c r="V296" t="s">
        <v>448</v>
      </c>
      <c r="W296" t="s">
        <v>743</v>
      </c>
      <c r="X296" t="s">
        <v>475</v>
      </c>
      <c r="Y296" t="s">
        <v>693</v>
      </c>
      <c r="Z296" t="s">
        <v>803</v>
      </c>
      <c r="AA296" t="s">
        <v>752</v>
      </c>
      <c r="AB296" t="s">
        <v>676</v>
      </c>
      <c r="AC296" t="s">
        <v>794</v>
      </c>
      <c r="AD296" t="s">
        <v>450</v>
      </c>
    </row>
    <row r="297" spans="1:30" x14ac:dyDescent="0.35">
      <c r="A297" t="s">
        <v>54</v>
      </c>
      <c r="B297">
        <v>2021</v>
      </c>
      <c r="C297" t="s">
        <v>123</v>
      </c>
      <c r="D297" t="s">
        <v>700</v>
      </c>
      <c r="E297" t="s">
        <v>901</v>
      </c>
      <c r="F297" t="s">
        <v>890</v>
      </c>
      <c r="G297" t="s">
        <v>448</v>
      </c>
      <c r="H297" t="s">
        <v>723</v>
      </c>
      <c r="I297" t="s">
        <v>902</v>
      </c>
      <c r="J297" t="s">
        <v>749</v>
      </c>
      <c r="K297" t="s">
        <v>514</v>
      </c>
      <c r="L297" t="s">
        <v>176</v>
      </c>
      <c r="M297" t="s">
        <v>514</v>
      </c>
      <c r="N297" t="s">
        <v>648</v>
      </c>
      <c r="O297" t="s">
        <v>903</v>
      </c>
      <c r="P297" t="s">
        <v>852</v>
      </c>
      <c r="Q297" t="s">
        <v>904</v>
      </c>
      <c r="R297" t="s">
        <v>724</v>
      </c>
      <c r="S297" t="s">
        <v>538</v>
      </c>
      <c r="T297" t="s">
        <v>770</v>
      </c>
      <c r="U297" t="s">
        <v>723</v>
      </c>
      <c r="V297" t="s">
        <v>698</v>
      </c>
      <c r="W297" t="s">
        <v>700</v>
      </c>
      <c r="X297" t="s">
        <v>709</v>
      </c>
      <c r="Y297" t="s">
        <v>455</v>
      </c>
      <c r="Z297" t="s">
        <v>706</v>
      </c>
      <c r="AA297" t="s">
        <v>450</v>
      </c>
      <c r="AB297" t="s">
        <v>669</v>
      </c>
      <c r="AC297" t="s">
        <v>654</v>
      </c>
      <c r="AD297" t="s">
        <v>794</v>
      </c>
    </row>
    <row r="298" spans="1:30" x14ac:dyDescent="0.35">
      <c r="A298" t="s">
        <v>73</v>
      </c>
      <c r="B298">
        <v>2021</v>
      </c>
      <c r="C298" t="s">
        <v>123</v>
      </c>
      <c r="D298" t="s">
        <v>609</v>
      </c>
      <c r="E298" t="s">
        <v>905</v>
      </c>
      <c r="F298" t="s">
        <v>483</v>
      </c>
      <c r="G298" t="s">
        <v>783</v>
      </c>
      <c r="H298" t="s">
        <v>809</v>
      </c>
      <c r="I298" t="s">
        <v>736</v>
      </c>
      <c r="J298" t="s">
        <v>506</v>
      </c>
      <c r="K298" t="s">
        <v>624</v>
      </c>
      <c r="L298" t="s">
        <v>166</v>
      </c>
      <c r="M298" t="s">
        <v>897</v>
      </c>
      <c r="N298" t="s">
        <v>450</v>
      </c>
      <c r="O298" t="s">
        <v>906</v>
      </c>
      <c r="P298" t="s">
        <v>794</v>
      </c>
      <c r="Q298" t="s">
        <v>856</v>
      </c>
      <c r="R298" t="s">
        <v>343</v>
      </c>
      <c r="S298" t="s">
        <v>744</v>
      </c>
      <c r="T298" t="s">
        <v>717</v>
      </c>
      <c r="U298" t="s">
        <v>723</v>
      </c>
      <c r="V298" t="s">
        <v>760</v>
      </c>
      <c r="W298" t="s">
        <v>194</v>
      </c>
      <c r="X298" t="s">
        <v>829</v>
      </c>
      <c r="Y298" t="s">
        <v>713</v>
      </c>
      <c r="Z298" t="s">
        <v>362</v>
      </c>
      <c r="AA298" t="s">
        <v>712</v>
      </c>
      <c r="AB298" t="s">
        <v>783</v>
      </c>
      <c r="AC298" t="s">
        <v>727</v>
      </c>
      <c r="AD298" t="s">
        <v>893</v>
      </c>
    </row>
    <row r="299" spans="1:30" x14ac:dyDescent="0.35">
      <c r="A299" t="s">
        <v>30</v>
      </c>
      <c r="B299">
        <v>2021</v>
      </c>
      <c r="C299" t="s">
        <v>136</v>
      </c>
      <c r="D299" t="s">
        <v>441</v>
      </c>
      <c r="E299" t="s">
        <v>907</v>
      </c>
      <c r="F299" t="s">
        <v>347</v>
      </c>
      <c r="G299" t="s">
        <v>740</v>
      </c>
      <c r="H299" t="s">
        <v>562</v>
      </c>
      <c r="I299" t="s">
        <v>829</v>
      </c>
      <c r="J299" t="s">
        <v>584</v>
      </c>
      <c r="K299" t="s">
        <v>763</v>
      </c>
      <c r="L299" t="s">
        <v>183</v>
      </c>
      <c r="M299" t="s">
        <v>908</v>
      </c>
      <c r="N299" t="s">
        <v>483</v>
      </c>
      <c r="O299" t="s">
        <v>755</v>
      </c>
      <c r="P299" t="s">
        <v>771</v>
      </c>
      <c r="Q299" t="s">
        <v>909</v>
      </c>
      <c r="R299" t="s">
        <v>475</v>
      </c>
      <c r="S299" t="s">
        <v>766</v>
      </c>
      <c r="T299" t="s">
        <v>757</v>
      </c>
      <c r="U299" t="s">
        <v>48</v>
      </c>
      <c r="V299" t="s">
        <v>624</v>
      </c>
      <c r="W299" t="s">
        <v>343</v>
      </c>
      <c r="X299" t="s">
        <v>910</v>
      </c>
      <c r="Y299" t="s">
        <v>362</v>
      </c>
      <c r="Z299" t="s">
        <v>811</v>
      </c>
      <c r="AA299" t="s">
        <v>799</v>
      </c>
      <c r="AB299" t="s">
        <v>696</v>
      </c>
      <c r="AC299" t="s">
        <v>329</v>
      </c>
      <c r="AD299" t="s">
        <v>329</v>
      </c>
    </row>
    <row r="300" spans="1:30" x14ac:dyDescent="0.35">
      <c r="A300" t="s">
        <v>54</v>
      </c>
      <c r="B300">
        <v>2021</v>
      </c>
      <c r="C300" t="s">
        <v>136</v>
      </c>
      <c r="D300" t="s">
        <v>726</v>
      </c>
      <c r="E300" t="s">
        <v>911</v>
      </c>
      <c r="F300" t="s">
        <v>912</v>
      </c>
      <c r="G300" t="s">
        <v>821</v>
      </c>
      <c r="H300" t="s">
        <v>902</v>
      </c>
      <c r="I300" t="s">
        <v>913</v>
      </c>
      <c r="J300" t="s">
        <v>774</v>
      </c>
      <c r="K300" t="s">
        <v>914</v>
      </c>
      <c r="L300" t="s">
        <v>244</v>
      </c>
      <c r="M300" t="s">
        <v>762</v>
      </c>
      <c r="N300" t="s">
        <v>359</v>
      </c>
      <c r="O300" t="s">
        <v>915</v>
      </c>
      <c r="P300" t="s">
        <v>753</v>
      </c>
      <c r="Q300" t="s">
        <v>916</v>
      </c>
      <c r="R300" t="s">
        <v>821</v>
      </c>
      <c r="S300" t="s">
        <v>585</v>
      </c>
      <c r="T300" t="s">
        <v>716</v>
      </c>
      <c r="U300" t="s">
        <v>749</v>
      </c>
      <c r="V300" t="s">
        <v>743</v>
      </c>
      <c r="W300" t="s">
        <v>316</v>
      </c>
      <c r="X300" t="s">
        <v>474</v>
      </c>
      <c r="Y300" t="s">
        <v>621</v>
      </c>
      <c r="Z300" t="s">
        <v>735</v>
      </c>
      <c r="AA300" t="s">
        <v>669</v>
      </c>
      <c r="AB300" t="s">
        <v>709</v>
      </c>
      <c r="AC300" t="s">
        <v>725</v>
      </c>
      <c r="AD300" t="s">
        <v>628</v>
      </c>
    </row>
    <row r="301" spans="1:30" x14ac:dyDescent="0.35">
      <c r="A301" t="s">
        <v>73</v>
      </c>
      <c r="B301">
        <v>2021</v>
      </c>
      <c r="C301" t="s">
        <v>136</v>
      </c>
      <c r="D301" t="s">
        <v>632</v>
      </c>
      <c r="E301" t="s">
        <v>917</v>
      </c>
      <c r="F301" t="s">
        <v>529</v>
      </c>
      <c r="G301" t="s">
        <v>705</v>
      </c>
      <c r="H301" t="s">
        <v>918</v>
      </c>
      <c r="I301" t="s">
        <v>782</v>
      </c>
      <c r="J301" t="s">
        <v>690</v>
      </c>
      <c r="K301" t="s">
        <v>459</v>
      </c>
      <c r="L301" t="s">
        <v>176</v>
      </c>
      <c r="M301" t="s">
        <v>339</v>
      </c>
      <c r="N301" t="s">
        <v>696</v>
      </c>
      <c r="O301" t="s">
        <v>595</v>
      </c>
      <c r="P301" t="s">
        <v>668</v>
      </c>
      <c r="Q301" t="s">
        <v>826</v>
      </c>
      <c r="R301" t="s">
        <v>817</v>
      </c>
      <c r="S301" t="s">
        <v>658</v>
      </c>
      <c r="T301" t="s">
        <v>474</v>
      </c>
      <c r="U301" t="s">
        <v>749</v>
      </c>
      <c r="V301" t="s">
        <v>873</v>
      </c>
      <c r="W301" t="s">
        <v>691</v>
      </c>
      <c r="X301" t="s">
        <v>468</v>
      </c>
      <c r="Y301" t="s">
        <v>684</v>
      </c>
      <c r="Z301" t="s">
        <v>740</v>
      </c>
      <c r="AA301" t="s">
        <v>525</v>
      </c>
      <c r="AB301" t="s">
        <v>803</v>
      </c>
      <c r="AC301" t="s">
        <v>356</v>
      </c>
      <c r="AD301" t="s">
        <v>474</v>
      </c>
    </row>
    <row r="302" spans="1:30" x14ac:dyDescent="0.35">
      <c r="A302" t="s">
        <v>30</v>
      </c>
      <c r="B302">
        <v>2021</v>
      </c>
      <c r="C302" t="s">
        <v>146</v>
      </c>
      <c r="D302" t="s">
        <v>627</v>
      </c>
      <c r="E302" t="s">
        <v>919</v>
      </c>
      <c r="F302" t="s">
        <v>920</v>
      </c>
      <c r="G302" t="s">
        <v>705</v>
      </c>
      <c r="H302" t="s">
        <v>921</v>
      </c>
      <c r="I302" t="s">
        <v>803</v>
      </c>
      <c r="J302" t="s">
        <v>715</v>
      </c>
      <c r="K302" t="s">
        <v>447</v>
      </c>
      <c r="L302" t="s">
        <v>126</v>
      </c>
      <c r="M302" t="s">
        <v>614</v>
      </c>
      <c r="N302" t="s">
        <v>447</v>
      </c>
      <c r="O302" t="s">
        <v>554</v>
      </c>
      <c r="P302" t="s">
        <v>922</v>
      </c>
      <c r="Q302" t="s">
        <v>765</v>
      </c>
      <c r="R302" t="s">
        <v>475</v>
      </c>
      <c r="S302" t="s">
        <v>827</v>
      </c>
      <c r="T302" t="s">
        <v>483</v>
      </c>
      <c r="U302" t="s">
        <v>48</v>
      </c>
      <c r="V302" t="s">
        <v>350</v>
      </c>
      <c r="W302" t="s">
        <v>707</v>
      </c>
      <c r="X302" t="s">
        <v>908</v>
      </c>
      <c r="Y302" t="s">
        <v>466</v>
      </c>
      <c r="Z302" t="s">
        <v>474</v>
      </c>
      <c r="AA302" t="s">
        <v>810</v>
      </c>
      <c r="AB302" t="s">
        <v>873</v>
      </c>
      <c r="AC302" t="s">
        <v>823</v>
      </c>
      <c r="AD302" t="s">
        <v>350</v>
      </c>
    </row>
    <row r="303" spans="1:30" x14ac:dyDescent="0.35">
      <c r="A303" t="s">
        <v>54</v>
      </c>
      <c r="B303">
        <v>2021</v>
      </c>
      <c r="C303" t="s">
        <v>146</v>
      </c>
      <c r="D303" t="s">
        <v>601</v>
      </c>
      <c r="E303" t="s">
        <v>923</v>
      </c>
      <c r="F303" t="s">
        <v>551</v>
      </c>
      <c r="G303" t="s">
        <v>821</v>
      </c>
      <c r="H303" t="s">
        <v>587</v>
      </c>
      <c r="I303" t="s">
        <v>499</v>
      </c>
      <c r="J303" t="s">
        <v>924</v>
      </c>
      <c r="K303" t="s">
        <v>925</v>
      </c>
      <c r="L303" t="s">
        <v>276</v>
      </c>
      <c r="M303" t="s">
        <v>447</v>
      </c>
      <c r="N303" t="s">
        <v>725</v>
      </c>
      <c r="O303" t="s">
        <v>814</v>
      </c>
      <c r="P303" t="s">
        <v>750</v>
      </c>
      <c r="Q303" t="s">
        <v>926</v>
      </c>
      <c r="R303" t="s">
        <v>717</v>
      </c>
      <c r="S303" t="s">
        <v>372</v>
      </c>
      <c r="T303" t="s">
        <v>721</v>
      </c>
      <c r="U303" t="s">
        <v>922</v>
      </c>
      <c r="V303" t="s">
        <v>705</v>
      </c>
      <c r="W303" t="s">
        <v>661</v>
      </c>
      <c r="X303" t="s">
        <v>479</v>
      </c>
      <c r="Y303" t="s">
        <v>637</v>
      </c>
      <c r="Z303" t="s">
        <v>600</v>
      </c>
      <c r="AA303" t="s">
        <v>845</v>
      </c>
      <c r="AB303" t="s">
        <v>794</v>
      </c>
      <c r="AC303" t="s">
        <v>770</v>
      </c>
      <c r="AD303" t="s">
        <v>474</v>
      </c>
    </row>
    <row r="304" spans="1:30" x14ac:dyDescent="0.35">
      <c r="A304" t="s">
        <v>73</v>
      </c>
      <c r="B304">
        <v>2021</v>
      </c>
      <c r="C304" t="s">
        <v>146</v>
      </c>
      <c r="D304" t="s">
        <v>424</v>
      </c>
      <c r="E304" t="s">
        <v>834</v>
      </c>
      <c r="F304" t="s">
        <v>927</v>
      </c>
      <c r="G304" t="s">
        <v>682</v>
      </c>
      <c r="H304" t="s">
        <v>928</v>
      </c>
      <c r="I304" t="s">
        <v>483</v>
      </c>
      <c r="J304" t="s">
        <v>783</v>
      </c>
      <c r="K304" t="s">
        <v>546</v>
      </c>
      <c r="L304" t="s">
        <v>273</v>
      </c>
      <c r="M304" t="s">
        <v>458</v>
      </c>
      <c r="N304" t="s">
        <v>811</v>
      </c>
      <c r="O304" t="s">
        <v>321</v>
      </c>
      <c r="P304" t="s">
        <v>677</v>
      </c>
      <c r="Q304" t="s">
        <v>929</v>
      </c>
      <c r="R304" t="s">
        <v>462</v>
      </c>
      <c r="S304" t="s">
        <v>194</v>
      </c>
      <c r="T304" t="s">
        <v>668</v>
      </c>
      <c r="U304" t="s">
        <v>922</v>
      </c>
      <c r="V304" t="s">
        <v>779</v>
      </c>
      <c r="W304" t="s">
        <v>721</v>
      </c>
      <c r="X304" t="s">
        <v>777</v>
      </c>
      <c r="Y304" t="s">
        <v>600</v>
      </c>
      <c r="Z304" t="s">
        <v>698</v>
      </c>
      <c r="AA304" t="s">
        <v>624</v>
      </c>
      <c r="AB304" t="s">
        <v>343</v>
      </c>
      <c r="AC304" t="s">
        <v>450</v>
      </c>
      <c r="AD304" t="s">
        <v>835</v>
      </c>
    </row>
    <row r="305" spans="1:30" x14ac:dyDescent="0.35">
      <c r="A305" t="s">
        <v>30</v>
      </c>
      <c r="B305">
        <v>2021</v>
      </c>
      <c r="C305" t="s">
        <v>163</v>
      </c>
      <c r="D305" t="s">
        <v>441</v>
      </c>
      <c r="E305" t="s">
        <v>930</v>
      </c>
      <c r="F305" t="s">
        <v>931</v>
      </c>
      <c r="G305" t="s">
        <v>672</v>
      </c>
      <c r="H305" t="s">
        <v>836</v>
      </c>
      <c r="I305" t="s">
        <v>324</v>
      </c>
      <c r="J305" t="s">
        <v>699</v>
      </c>
      <c r="K305" t="s">
        <v>863</v>
      </c>
      <c r="L305" t="s">
        <v>113</v>
      </c>
      <c r="M305" t="s">
        <v>908</v>
      </c>
      <c r="N305" t="s">
        <v>750</v>
      </c>
      <c r="O305" t="s">
        <v>822</v>
      </c>
      <c r="P305" t="s">
        <v>624</v>
      </c>
      <c r="Q305" t="s">
        <v>932</v>
      </c>
      <c r="R305" t="s">
        <v>546</v>
      </c>
      <c r="S305" t="s">
        <v>329</v>
      </c>
      <c r="T305" t="s">
        <v>475</v>
      </c>
      <c r="U305" t="s">
        <v>48</v>
      </c>
      <c r="V305" t="s">
        <v>841</v>
      </c>
      <c r="W305" t="s">
        <v>712</v>
      </c>
      <c r="X305" t="s">
        <v>595</v>
      </c>
      <c r="Y305" t="s">
        <v>672</v>
      </c>
      <c r="Z305" t="s">
        <v>668</v>
      </c>
      <c r="AA305" t="s">
        <v>761</v>
      </c>
      <c r="AB305" t="s">
        <v>474</v>
      </c>
      <c r="AC305" t="s">
        <v>514</v>
      </c>
      <c r="AD305" t="s">
        <v>687</v>
      </c>
    </row>
    <row r="306" spans="1:30" x14ac:dyDescent="0.35">
      <c r="A306" t="s">
        <v>54</v>
      </c>
      <c r="B306">
        <v>2021</v>
      </c>
      <c r="C306" t="s">
        <v>163</v>
      </c>
      <c r="D306" t="s">
        <v>706</v>
      </c>
      <c r="E306" t="s">
        <v>933</v>
      </c>
      <c r="F306" t="s">
        <v>934</v>
      </c>
      <c r="G306" t="s">
        <v>569</v>
      </c>
      <c r="H306" t="s">
        <v>935</v>
      </c>
      <c r="I306" t="s">
        <v>936</v>
      </c>
      <c r="J306" t="s">
        <v>937</v>
      </c>
      <c r="K306" t="s">
        <v>742</v>
      </c>
      <c r="L306" t="s">
        <v>198</v>
      </c>
      <c r="M306" t="s">
        <v>447</v>
      </c>
      <c r="N306" t="s">
        <v>770</v>
      </c>
      <c r="O306" t="s">
        <v>938</v>
      </c>
      <c r="P306" t="s">
        <v>620</v>
      </c>
      <c r="Q306" t="s">
        <v>854</v>
      </c>
      <c r="R306" t="s">
        <v>714</v>
      </c>
      <c r="S306" t="s">
        <v>618</v>
      </c>
      <c r="T306" t="s">
        <v>743</v>
      </c>
      <c r="U306" t="s">
        <v>823</v>
      </c>
      <c r="V306" t="s">
        <v>324</v>
      </c>
      <c r="W306" t="s">
        <v>600</v>
      </c>
      <c r="X306" t="s">
        <v>823</v>
      </c>
      <c r="Y306" t="s">
        <v>438</v>
      </c>
      <c r="Z306" t="s">
        <v>610</v>
      </c>
      <c r="AA306" t="s">
        <v>712</v>
      </c>
      <c r="AB306" t="s">
        <v>355</v>
      </c>
      <c r="AC306" t="s">
        <v>795</v>
      </c>
      <c r="AD306" t="s">
        <v>817</v>
      </c>
    </row>
    <row r="307" spans="1:30" x14ac:dyDescent="0.35">
      <c r="A307" t="s">
        <v>73</v>
      </c>
      <c r="B307">
        <v>2021</v>
      </c>
      <c r="C307" t="s">
        <v>163</v>
      </c>
      <c r="D307" t="s">
        <v>720</v>
      </c>
      <c r="E307" t="s">
        <v>879</v>
      </c>
      <c r="F307" t="s">
        <v>939</v>
      </c>
      <c r="G307" t="s">
        <v>709</v>
      </c>
      <c r="H307" t="s">
        <v>940</v>
      </c>
      <c r="I307" t="s">
        <v>897</v>
      </c>
      <c r="J307" t="s">
        <v>753</v>
      </c>
      <c r="K307" t="s">
        <v>732</v>
      </c>
      <c r="L307" t="s">
        <v>215</v>
      </c>
      <c r="M307" t="s">
        <v>941</v>
      </c>
      <c r="N307" t="s">
        <v>172</v>
      </c>
      <c r="O307" t="s">
        <v>587</v>
      </c>
      <c r="P307" t="s">
        <v>732</v>
      </c>
      <c r="Q307" t="s">
        <v>885</v>
      </c>
      <c r="R307" t="s">
        <v>514</v>
      </c>
      <c r="S307" t="s">
        <v>805</v>
      </c>
      <c r="T307" t="s">
        <v>723</v>
      </c>
      <c r="U307" t="s">
        <v>823</v>
      </c>
      <c r="V307" t="s">
        <v>668</v>
      </c>
      <c r="W307" t="s">
        <v>740</v>
      </c>
      <c r="X307" t="s">
        <v>813</v>
      </c>
      <c r="Y307" t="s">
        <v>805</v>
      </c>
      <c r="Z307" t="s">
        <v>352</v>
      </c>
      <c r="AA307" t="s">
        <v>687</v>
      </c>
      <c r="AB307" t="s">
        <v>942</v>
      </c>
      <c r="AC307" t="s">
        <v>807</v>
      </c>
      <c r="AD307" t="s">
        <v>841</v>
      </c>
    </row>
    <row r="308" spans="1:30" x14ac:dyDescent="0.35">
      <c r="A308" t="s">
        <v>30</v>
      </c>
      <c r="B308">
        <v>2021</v>
      </c>
      <c r="C308" t="s">
        <v>182</v>
      </c>
      <c r="D308" t="s">
        <v>625</v>
      </c>
      <c r="E308" t="s">
        <v>943</v>
      </c>
      <c r="F308" t="s">
        <v>944</v>
      </c>
      <c r="G308" t="s">
        <v>709</v>
      </c>
      <c r="H308" t="s">
        <v>828</v>
      </c>
      <c r="I308" t="s">
        <v>796</v>
      </c>
      <c r="J308" t="s">
        <v>747</v>
      </c>
      <c r="K308" t="s">
        <v>514</v>
      </c>
      <c r="L308" t="s">
        <v>255</v>
      </c>
      <c r="M308" t="s">
        <v>755</v>
      </c>
      <c r="N308" t="s">
        <v>799</v>
      </c>
      <c r="O308" t="s">
        <v>945</v>
      </c>
      <c r="P308" t="s">
        <v>817</v>
      </c>
      <c r="Q308" t="s">
        <v>869</v>
      </c>
      <c r="R308" t="s">
        <v>813</v>
      </c>
      <c r="S308" t="s">
        <v>677</v>
      </c>
      <c r="T308" t="s">
        <v>777</v>
      </c>
      <c r="U308" t="s">
        <v>48</v>
      </c>
      <c r="V308" t="s">
        <v>946</v>
      </c>
      <c r="W308" t="s">
        <v>172</v>
      </c>
      <c r="X308" t="s">
        <v>915</v>
      </c>
      <c r="Y308" t="s">
        <v>324</v>
      </c>
      <c r="Z308" t="s">
        <v>329</v>
      </c>
      <c r="AA308" t="s">
        <v>543</v>
      </c>
      <c r="AB308" t="s">
        <v>712</v>
      </c>
      <c r="AC308" t="s">
        <v>731</v>
      </c>
      <c r="AD308" t="s">
        <v>863</v>
      </c>
    </row>
    <row r="309" spans="1:30" x14ac:dyDescent="0.35">
      <c r="A309" t="s">
        <v>54</v>
      </c>
      <c r="B309">
        <v>2021</v>
      </c>
      <c r="C309" t="s">
        <v>182</v>
      </c>
      <c r="D309" t="s">
        <v>664</v>
      </c>
      <c r="E309" t="s">
        <v>947</v>
      </c>
      <c r="F309" t="s">
        <v>948</v>
      </c>
      <c r="G309" t="s">
        <v>707</v>
      </c>
      <c r="H309" t="s">
        <v>949</v>
      </c>
      <c r="I309" t="s">
        <v>835</v>
      </c>
      <c r="J309" t="s">
        <v>950</v>
      </c>
      <c r="K309" t="s">
        <v>757</v>
      </c>
      <c r="L309" t="s">
        <v>187</v>
      </c>
      <c r="M309" t="s">
        <v>750</v>
      </c>
      <c r="N309" t="s">
        <v>721</v>
      </c>
      <c r="O309" t="s">
        <v>653</v>
      </c>
      <c r="P309" t="s">
        <v>797</v>
      </c>
      <c r="Q309" t="s">
        <v>951</v>
      </c>
      <c r="R309" t="s">
        <v>779</v>
      </c>
      <c r="S309" t="s">
        <v>156</v>
      </c>
      <c r="T309" t="s">
        <v>717</v>
      </c>
      <c r="U309" t="s">
        <v>350</v>
      </c>
      <c r="V309" t="s">
        <v>668</v>
      </c>
      <c r="W309" t="s">
        <v>362</v>
      </c>
      <c r="X309" t="s">
        <v>514</v>
      </c>
      <c r="Y309" t="s">
        <v>701</v>
      </c>
      <c r="Z309" t="s">
        <v>778</v>
      </c>
      <c r="AA309" t="s">
        <v>474</v>
      </c>
      <c r="AB309" t="s">
        <v>355</v>
      </c>
      <c r="AC309" t="s">
        <v>448</v>
      </c>
      <c r="AD309" t="s">
        <v>829</v>
      </c>
    </row>
    <row r="310" spans="1:30" x14ac:dyDescent="0.35">
      <c r="A310" t="s">
        <v>73</v>
      </c>
      <c r="B310">
        <v>2021</v>
      </c>
      <c r="C310" t="s">
        <v>182</v>
      </c>
      <c r="D310" t="s">
        <v>713</v>
      </c>
      <c r="E310" t="s">
        <v>952</v>
      </c>
      <c r="F310" t="s">
        <v>953</v>
      </c>
      <c r="G310" t="s">
        <v>487</v>
      </c>
      <c r="H310" t="s">
        <v>954</v>
      </c>
      <c r="I310" t="s">
        <v>356</v>
      </c>
      <c r="J310" t="s">
        <v>462</v>
      </c>
      <c r="K310" t="s">
        <v>752</v>
      </c>
      <c r="L310" t="s">
        <v>306</v>
      </c>
      <c r="M310" t="s">
        <v>902</v>
      </c>
      <c r="N310" t="s">
        <v>536</v>
      </c>
      <c r="O310" t="s">
        <v>955</v>
      </c>
      <c r="P310" t="s">
        <v>732</v>
      </c>
      <c r="Q310" t="s">
        <v>956</v>
      </c>
      <c r="R310" t="s">
        <v>757</v>
      </c>
      <c r="S310" t="s">
        <v>352</v>
      </c>
      <c r="T310" t="s">
        <v>687</v>
      </c>
      <c r="U310" t="s">
        <v>350</v>
      </c>
      <c r="V310" t="s">
        <v>677</v>
      </c>
      <c r="W310" t="s">
        <v>709</v>
      </c>
      <c r="X310" t="s">
        <v>957</v>
      </c>
      <c r="Y310" t="s">
        <v>199</v>
      </c>
      <c r="Z310" t="s">
        <v>450</v>
      </c>
      <c r="AA310" t="s">
        <v>502</v>
      </c>
      <c r="AB310" t="s">
        <v>811</v>
      </c>
      <c r="AC310" t="s">
        <v>811</v>
      </c>
      <c r="AD310" t="s">
        <v>687</v>
      </c>
    </row>
    <row r="311" spans="1:30" x14ac:dyDescent="0.35">
      <c r="A311" t="s">
        <v>30</v>
      </c>
      <c r="B311">
        <v>2021</v>
      </c>
      <c r="C311" t="s">
        <v>197</v>
      </c>
      <c r="D311" t="s">
        <v>254</v>
      </c>
      <c r="E311" t="s">
        <v>958</v>
      </c>
      <c r="F311" t="s">
        <v>808</v>
      </c>
      <c r="G311" t="s">
        <v>794</v>
      </c>
      <c r="H311" t="s">
        <v>854</v>
      </c>
      <c r="I311" t="s">
        <v>764</v>
      </c>
      <c r="J311" t="s">
        <v>550</v>
      </c>
      <c r="K311" t="s">
        <v>897</v>
      </c>
      <c r="L311" t="s">
        <v>284</v>
      </c>
      <c r="M311" t="s">
        <v>809</v>
      </c>
      <c r="N311" t="s">
        <v>941</v>
      </c>
      <c r="O311" t="s">
        <v>953</v>
      </c>
      <c r="P311" t="s">
        <v>350</v>
      </c>
      <c r="Q311" t="s">
        <v>959</v>
      </c>
      <c r="R311" t="s">
        <v>960</v>
      </c>
      <c r="S311" t="s">
        <v>863</v>
      </c>
      <c r="T311" t="s">
        <v>782</v>
      </c>
      <c r="U311" t="s">
        <v>48</v>
      </c>
      <c r="V311" t="s">
        <v>784</v>
      </c>
      <c r="W311" t="s">
        <v>835</v>
      </c>
      <c r="X311" t="s">
        <v>945</v>
      </c>
      <c r="Y311" t="s">
        <v>893</v>
      </c>
      <c r="Z311" t="s">
        <v>536</v>
      </c>
      <c r="AA311" t="s">
        <v>458</v>
      </c>
      <c r="AB311" t="s">
        <v>758</v>
      </c>
      <c r="AC311" t="s">
        <v>502</v>
      </c>
      <c r="AD311" t="s">
        <v>732</v>
      </c>
    </row>
    <row r="312" spans="1:30" x14ac:dyDescent="0.35">
      <c r="A312" t="s">
        <v>54</v>
      </c>
      <c r="B312">
        <v>2021</v>
      </c>
      <c r="C312" t="s">
        <v>197</v>
      </c>
      <c r="D312" t="s">
        <v>664</v>
      </c>
      <c r="E312" t="s">
        <v>947</v>
      </c>
      <c r="F312" t="s">
        <v>948</v>
      </c>
      <c r="G312" t="s">
        <v>593</v>
      </c>
      <c r="H312" t="s">
        <v>949</v>
      </c>
      <c r="I312" t="s">
        <v>525</v>
      </c>
      <c r="J312" t="s">
        <v>216</v>
      </c>
      <c r="K312" t="s">
        <v>757</v>
      </c>
      <c r="L312" t="s">
        <v>187</v>
      </c>
      <c r="M312" t="s">
        <v>750</v>
      </c>
      <c r="N312" t="s">
        <v>721</v>
      </c>
      <c r="O312" t="s">
        <v>653</v>
      </c>
      <c r="P312" t="s">
        <v>797</v>
      </c>
      <c r="Q312" t="s">
        <v>951</v>
      </c>
      <c r="R312" t="s">
        <v>779</v>
      </c>
      <c r="S312" t="s">
        <v>156</v>
      </c>
      <c r="T312" t="s">
        <v>776</v>
      </c>
      <c r="U312" t="s">
        <v>350</v>
      </c>
      <c r="V312" t="s">
        <v>479</v>
      </c>
      <c r="W312" t="s">
        <v>694</v>
      </c>
      <c r="X312" t="s">
        <v>514</v>
      </c>
      <c r="Y312" t="s">
        <v>654</v>
      </c>
      <c r="Z312" t="s">
        <v>747</v>
      </c>
      <c r="AA312" t="s">
        <v>712</v>
      </c>
      <c r="AB312" t="s">
        <v>355</v>
      </c>
      <c r="AC312" t="s">
        <v>448</v>
      </c>
      <c r="AD312" t="s">
        <v>829</v>
      </c>
    </row>
    <row r="313" spans="1:30" x14ac:dyDescent="0.35">
      <c r="A313" t="s">
        <v>73</v>
      </c>
      <c r="B313">
        <v>2021</v>
      </c>
      <c r="C313" t="s">
        <v>197</v>
      </c>
      <c r="D313" t="s">
        <v>713</v>
      </c>
      <c r="E313" t="s">
        <v>952</v>
      </c>
      <c r="F313" t="s">
        <v>953</v>
      </c>
      <c r="G313" t="s">
        <v>487</v>
      </c>
      <c r="H313" t="s">
        <v>954</v>
      </c>
      <c r="I313" t="s">
        <v>748</v>
      </c>
      <c r="J313" t="s">
        <v>829</v>
      </c>
      <c r="K313" t="s">
        <v>752</v>
      </c>
      <c r="L313" t="s">
        <v>306</v>
      </c>
      <c r="M313" t="s">
        <v>902</v>
      </c>
      <c r="N313" t="s">
        <v>536</v>
      </c>
      <c r="O313" t="s">
        <v>955</v>
      </c>
      <c r="P313" t="s">
        <v>732</v>
      </c>
      <c r="Q313" t="s">
        <v>956</v>
      </c>
      <c r="R313" t="s">
        <v>483</v>
      </c>
      <c r="S313" t="s">
        <v>352</v>
      </c>
      <c r="T313" t="s">
        <v>731</v>
      </c>
      <c r="U313" t="s">
        <v>350</v>
      </c>
      <c r="V313" t="s">
        <v>677</v>
      </c>
      <c r="W313" t="s">
        <v>709</v>
      </c>
      <c r="X313" t="s">
        <v>957</v>
      </c>
      <c r="Y313" t="s">
        <v>199</v>
      </c>
      <c r="Z313" t="s">
        <v>324</v>
      </c>
      <c r="AA313" t="s">
        <v>784</v>
      </c>
      <c r="AB313" t="s">
        <v>811</v>
      </c>
      <c r="AC313" t="s">
        <v>811</v>
      </c>
      <c r="AD313" t="s">
        <v>687</v>
      </c>
    </row>
    <row r="314" spans="1:30" x14ac:dyDescent="0.35">
      <c r="A314" t="s">
        <v>30</v>
      </c>
      <c r="B314">
        <v>2021</v>
      </c>
      <c r="C314" t="s">
        <v>207</v>
      </c>
      <c r="D314" t="s">
        <v>665</v>
      </c>
      <c r="E314" t="s">
        <v>901</v>
      </c>
      <c r="F314" t="s">
        <v>809</v>
      </c>
      <c r="G314" t="s">
        <v>487</v>
      </c>
      <c r="H314" t="s">
        <v>961</v>
      </c>
      <c r="I314" t="s">
        <v>735</v>
      </c>
      <c r="J314" t="s">
        <v>595</v>
      </c>
      <c r="K314" t="s">
        <v>762</v>
      </c>
      <c r="L314" t="s">
        <v>300</v>
      </c>
      <c r="M314" t="s">
        <v>935</v>
      </c>
      <c r="N314" t="s">
        <v>902</v>
      </c>
      <c r="O314" t="s">
        <v>597</v>
      </c>
      <c r="P314" t="s">
        <v>447</v>
      </c>
      <c r="Q314" t="s">
        <v>885</v>
      </c>
      <c r="R314" t="s">
        <v>906</v>
      </c>
      <c r="S314" t="s">
        <v>843</v>
      </c>
      <c r="T314" t="s">
        <v>941</v>
      </c>
      <c r="U314" t="s">
        <v>48</v>
      </c>
      <c r="V314" t="s">
        <v>447</v>
      </c>
      <c r="W314" t="s">
        <v>852</v>
      </c>
      <c r="X314" t="s">
        <v>913</v>
      </c>
      <c r="Y314" t="s">
        <v>628</v>
      </c>
      <c r="Z314" t="s">
        <v>687</v>
      </c>
      <c r="AA314" t="s">
        <v>962</v>
      </c>
      <c r="AB314" t="s">
        <v>329</v>
      </c>
      <c r="AC314" t="s">
        <v>742</v>
      </c>
      <c r="AD314" t="s">
        <v>777</v>
      </c>
    </row>
    <row r="315" spans="1:30" x14ac:dyDescent="0.35">
      <c r="A315" t="s">
        <v>54</v>
      </c>
      <c r="B315">
        <v>2021</v>
      </c>
      <c r="C315" t="s">
        <v>207</v>
      </c>
      <c r="D315" t="s">
        <v>316</v>
      </c>
      <c r="E315" t="s">
        <v>963</v>
      </c>
      <c r="F315" t="s">
        <v>912</v>
      </c>
      <c r="G315" t="s">
        <v>707</v>
      </c>
      <c r="H315" t="s">
        <v>964</v>
      </c>
      <c r="I315" t="s">
        <v>696</v>
      </c>
      <c r="J315" t="s">
        <v>965</v>
      </c>
      <c r="K315" t="s">
        <v>475</v>
      </c>
      <c r="L315" t="s">
        <v>230</v>
      </c>
      <c r="M315" t="s">
        <v>810</v>
      </c>
      <c r="N315" t="s">
        <v>783</v>
      </c>
      <c r="O315" t="s">
        <v>966</v>
      </c>
      <c r="P315" t="s">
        <v>499</v>
      </c>
      <c r="Q315" t="s">
        <v>802</v>
      </c>
      <c r="R315" t="s">
        <v>479</v>
      </c>
      <c r="S315" t="s">
        <v>630</v>
      </c>
      <c r="T315" t="s">
        <v>719</v>
      </c>
      <c r="U315" t="s">
        <v>863</v>
      </c>
      <c r="V315" t="s">
        <v>462</v>
      </c>
      <c r="W315" t="s">
        <v>710</v>
      </c>
      <c r="X315" t="s">
        <v>590</v>
      </c>
      <c r="Y315" t="s">
        <v>633</v>
      </c>
      <c r="Z315" t="s">
        <v>606</v>
      </c>
      <c r="AA315" t="s">
        <v>712</v>
      </c>
      <c r="AB315" t="s">
        <v>712</v>
      </c>
      <c r="AC315" t="s">
        <v>688</v>
      </c>
      <c r="AD315" t="s">
        <v>483</v>
      </c>
    </row>
    <row r="316" spans="1:30" x14ac:dyDescent="0.35">
      <c r="A316" t="s">
        <v>73</v>
      </c>
      <c r="B316">
        <v>2021</v>
      </c>
      <c r="C316" t="s">
        <v>207</v>
      </c>
      <c r="D316" t="s">
        <v>650</v>
      </c>
      <c r="E316" t="s">
        <v>967</v>
      </c>
      <c r="F316" t="s">
        <v>223</v>
      </c>
      <c r="G316" t="s">
        <v>771</v>
      </c>
      <c r="H316" t="s">
        <v>968</v>
      </c>
      <c r="I316" t="s">
        <v>796</v>
      </c>
      <c r="J316" t="s">
        <v>969</v>
      </c>
      <c r="K316" t="s">
        <v>762</v>
      </c>
      <c r="L316" t="s">
        <v>269</v>
      </c>
      <c r="M316" t="s">
        <v>781</v>
      </c>
      <c r="N316" t="s">
        <v>687</v>
      </c>
      <c r="O316" t="s">
        <v>970</v>
      </c>
      <c r="P316" t="s">
        <v>960</v>
      </c>
      <c r="Q316" t="s">
        <v>820</v>
      </c>
      <c r="R316" t="s">
        <v>768</v>
      </c>
      <c r="S316" t="s">
        <v>702</v>
      </c>
      <c r="T316" t="s">
        <v>532</v>
      </c>
      <c r="U316" t="s">
        <v>863</v>
      </c>
      <c r="V316" t="s">
        <v>753</v>
      </c>
      <c r="W316" t="s">
        <v>487</v>
      </c>
      <c r="X316" t="s">
        <v>910</v>
      </c>
      <c r="Y316" t="s">
        <v>796</v>
      </c>
      <c r="Z316" t="s">
        <v>803</v>
      </c>
      <c r="AA316" t="s">
        <v>897</v>
      </c>
      <c r="AB316" t="s">
        <v>479</v>
      </c>
      <c r="AC316" t="s">
        <v>685</v>
      </c>
      <c r="AD316" t="s">
        <v>447</v>
      </c>
    </row>
    <row r="317" spans="1:30" x14ac:dyDescent="0.35">
      <c r="A317" t="s">
        <v>30</v>
      </c>
      <c r="B317">
        <v>2021</v>
      </c>
      <c r="C317" t="s">
        <v>233</v>
      </c>
      <c r="D317" t="s">
        <v>728</v>
      </c>
      <c r="E317" t="s">
        <v>971</v>
      </c>
      <c r="F317" t="s">
        <v>499</v>
      </c>
      <c r="G317" t="s">
        <v>593</v>
      </c>
      <c r="H317" t="s">
        <v>972</v>
      </c>
      <c r="I317" t="s">
        <v>362</v>
      </c>
      <c r="J317" t="s">
        <v>831</v>
      </c>
      <c r="K317" t="s">
        <v>459</v>
      </c>
      <c r="L317" t="s">
        <v>279</v>
      </c>
      <c r="M317" t="s">
        <v>801</v>
      </c>
      <c r="N317" t="s">
        <v>910</v>
      </c>
      <c r="O317" t="s">
        <v>203</v>
      </c>
      <c r="P317" t="s">
        <v>543</v>
      </c>
      <c r="Q317" t="s">
        <v>785</v>
      </c>
      <c r="R317" t="s">
        <v>595</v>
      </c>
      <c r="S317" t="s">
        <v>546</v>
      </c>
      <c r="T317" t="s">
        <v>755</v>
      </c>
      <c r="U317" t="s">
        <v>48</v>
      </c>
      <c r="V317" t="s">
        <v>475</v>
      </c>
      <c r="W317" t="s">
        <v>656</v>
      </c>
      <c r="X317" t="s">
        <v>861</v>
      </c>
      <c r="Y317" t="s">
        <v>454</v>
      </c>
      <c r="Z317" t="s">
        <v>502</v>
      </c>
      <c r="AA317" t="s">
        <v>781</v>
      </c>
      <c r="AB317" t="s">
        <v>738</v>
      </c>
      <c r="AC317" t="s">
        <v>762</v>
      </c>
      <c r="AD317" t="s">
        <v>799</v>
      </c>
    </row>
    <row r="318" spans="1:30" x14ac:dyDescent="0.35">
      <c r="A318" t="s">
        <v>54</v>
      </c>
      <c r="B318">
        <v>2021</v>
      </c>
      <c r="C318" t="s">
        <v>233</v>
      </c>
      <c r="D318" t="s">
        <v>769</v>
      </c>
      <c r="E318" t="s">
        <v>973</v>
      </c>
      <c r="F318" t="s">
        <v>974</v>
      </c>
      <c r="G318" t="s">
        <v>355</v>
      </c>
      <c r="H318" t="s">
        <v>975</v>
      </c>
      <c r="I318" t="s">
        <v>712</v>
      </c>
      <c r="J318" t="s">
        <v>976</v>
      </c>
      <c r="K318" t="s">
        <v>763</v>
      </c>
      <c r="L318" t="s">
        <v>307</v>
      </c>
      <c r="M318" t="s">
        <v>761</v>
      </c>
      <c r="N318" t="s">
        <v>705</v>
      </c>
      <c r="O318" t="s">
        <v>977</v>
      </c>
      <c r="P318" t="s">
        <v>938</v>
      </c>
      <c r="Q318" t="s">
        <v>802</v>
      </c>
      <c r="R318" t="s">
        <v>829</v>
      </c>
      <c r="S318" t="s">
        <v>608</v>
      </c>
      <c r="T318" t="s">
        <v>566</v>
      </c>
      <c r="U318" t="s">
        <v>753</v>
      </c>
      <c r="V318" t="s">
        <v>749</v>
      </c>
      <c r="W318" t="s">
        <v>478</v>
      </c>
      <c r="X318" t="s">
        <v>753</v>
      </c>
      <c r="Y318" t="s">
        <v>610</v>
      </c>
      <c r="Z318" t="s">
        <v>748</v>
      </c>
      <c r="AA318" t="s">
        <v>479</v>
      </c>
      <c r="AB318" t="s">
        <v>817</v>
      </c>
      <c r="AC318" t="s">
        <v>717</v>
      </c>
      <c r="AD318" t="s">
        <v>882</v>
      </c>
    </row>
    <row r="319" spans="1:30" x14ac:dyDescent="0.35">
      <c r="A319" t="s">
        <v>73</v>
      </c>
      <c r="B319">
        <v>2021</v>
      </c>
      <c r="C319" t="s">
        <v>233</v>
      </c>
      <c r="D319" t="s">
        <v>655</v>
      </c>
      <c r="E319" t="s">
        <v>978</v>
      </c>
      <c r="F319" t="s">
        <v>912</v>
      </c>
      <c r="G319" t="s">
        <v>696</v>
      </c>
      <c r="H319" t="s">
        <v>495</v>
      </c>
      <c r="I319" t="s">
        <v>821</v>
      </c>
      <c r="J319" t="s">
        <v>979</v>
      </c>
      <c r="K319" t="s">
        <v>475</v>
      </c>
      <c r="L319" t="s">
        <v>311</v>
      </c>
      <c r="M319" t="s">
        <v>980</v>
      </c>
      <c r="N319" t="s">
        <v>784</v>
      </c>
      <c r="O319" t="s">
        <v>981</v>
      </c>
      <c r="P319" t="s">
        <v>908</v>
      </c>
      <c r="Q319" t="s">
        <v>982</v>
      </c>
      <c r="R319" t="s">
        <v>761</v>
      </c>
      <c r="S319" t="s">
        <v>776</v>
      </c>
      <c r="T319" t="s">
        <v>468</v>
      </c>
      <c r="U319" t="s">
        <v>753</v>
      </c>
      <c r="V319" t="s">
        <v>897</v>
      </c>
      <c r="W319" t="s">
        <v>696</v>
      </c>
      <c r="X319" t="s">
        <v>787</v>
      </c>
      <c r="Y319" t="s">
        <v>721</v>
      </c>
      <c r="Z319" t="s">
        <v>779</v>
      </c>
      <c r="AA319" t="s">
        <v>532</v>
      </c>
      <c r="AB319" t="s">
        <v>462</v>
      </c>
      <c r="AC319" t="s">
        <v>723</v>
      </c>
      <c r="AD319" t="s">
        <v>756</v>
      </c>
    </row>
    <row r="320" spans="1:30" x14ac:dyDescent="0.35">
      <c r="A320" t="s">
        <v>30</v>
      </c>
      <c r="B320">
        <v>2021</v>
      </c>
      <c r="C320" t="s">
        <v>242</v>
      </c>
      <c r="D320" t="s">
        <v>650</v>
      </c>
      <c r="E320" t="s">
        <v>802</v>
      </c>
      <c r="F320" t="s">
        <v>944</v>
      </c>
      <c r="G320" t="s">
        <v>779</v>
      </c>
      <c r="H320" t="s">
        <v>983</v>
      </c>
      <c r="I320" t="s">
        <v>359</v>
      </c>
      <c r="J320" t="s">
        <v>984</v>
      </c>
      <c r="K320" t="s">
        <v>757</v>
      </c>
      <c r="L320" t="s">
        <v>314</v>
      </c>
      <c r="M320" t="s">
        <v>554</v>
      </c>
      <c r="N320" t="s">
        <v>908</v>
      </c>
      <c r="O320" t="s">
        <v>653</v>
      </c>
      <c r="P320" t="s">
        <v>468</v>
      </c>
      <c r="Q320" t="s">
        <v>929</v>
      </c>
      <c r="R320" t="s">
        <v>570</v>
      </c>
      <c r="S320" t="s">
        <v>797</v>
      </c>
      <c r="T320" t="s">
        <v>223</v>
      </c>
      <c r="U320" t="s">
        <v>48</v>
      </c>
      <c r="V320" t="s">
        <v>882</v>
      </c>
      <c r="W320" t="s">
        <v>897</v>
      </c>
      <c r="X320" t="s">
        <v>985</v>
      </c>
      <c r="Y320" t="s">
        <v>942</v>
      </c>
      <c r="Z320" t="s">
        <v>757</v>
      </c>
      <c r="AA320" t="s">
        <v>908</v>
      </c>
      <c r="AB320" t="s">
        <v>514</v>
      </c>
      <c r="AC320" t="s">
        <v>546</v>
      </c>
      <c r="AD320" t="s">
        <v>813</v>
      </c>
    </row>
    <row r="321" spans="1:30" x14ac:dyDescent="0.35">
      <c r="A321" t="s">
        <v>54</v>
      </c>
      <c r="B321">
        <v>2021</v>
      </c>
      <c r="C321" t="s">
        <v>242</v>
      </c>
      <c r="D321" t="s">
        <v>678</v>
      </c>
      <c r="E321" t="s">
        <v>986</v>
      </c>
      <c r="F321" t="s">
        <v>815</v>
      </c>
      <c r="G321" t="s">
        <v>811</v>
      </c>
      <c r="H321" t="s">
        <v>938</v>
      </c>
      <c r="I321" t="s">
        <v>719</v>
      </c>
      <c r="J321" t="s">
        <v>987</v>
      </c>
      <c r="K321" t="s">
        <v>753</v>
      </c>
      <c r="L321" t="s">
        <v>269</v>
      </c>
      <c r="M321" t="s">
        <v>339</v>
      </c>
      <c r="N321" t="s">
        <v>821</v>
      </c>
      <c r="O321" t="s">
        <v>988</v>
      </c>
      <c r="P321" t="s">
        <v>587</v>
      </c>
      <c r="Q321" t="s">
        <v>989</v>
      </c>
      <c r="R321" t="s">
        <v>731</v>
      </c>
      <c r="S321" t="s">
        <v>424</v>
      </c>
      <c r="T321" t="s">
        <v>668</v>
      </c>
      <c r="U321" t="s">
        <v>745</v>
      </c>
      <c r="V321" t="s">
        <v>624</v>
      </c>
      <c r="W321" t="s">
        <v>448</v>
      </c>
      <c r="X321" t="s">
        <v>763</v>
      </c>
      <c r="Y321" t="s">
        <v>194</v>
      </c>
      <c r="Z321" t="s">
        <v>450</v>
      </c>
      <c r="AA321" t="s">
        <v>766</v>
      </c>
      <c r="AB321" t="s">
        <v>738</v>
      </c>
      <c r="AC321" t="s">
        <v>893</v>
      </c>
      <c r="AD321" t="s">
        <v>762</v>
      </c>
    </row>
    <row r="322" spans="1:30" x14ac:dyDescent="0.35">
      <c r="A322" t="s">
        <v>73</v>
      </c>
      <c r="B322">
        <v>2021</v>
      </c>
      <c r="C322" t="s">
        <v>242</v>
      </c>
      <c r="D322" t="s">
        <v>646</v>
      </c>
      <c r="E322" t="s">
        <v>961</v>
      </c>
      <c r="F322" t="s">
        <v>990</v>
      </c>
      <c r="G322" t="s">
        <v>827</v>
      </c>
      <c r="H322" t="s">
        <v>991</v>
      </c>
      <c r="I322" t="s">
        <v>698</v>
      </c>
      <c r="J322" t="s">
        <v>888</v>
      </c>
      <c r="K322" t="s">
        <v>736</v>
      </c>
      <c r="L322" t="s">
        <v>285</v>
      </c>
      <c r="M322" t="s">
        <v>812</v>
      </c>
      <c r="N322" t="s">
        <v>753</v>
      </c>
      <c r="O322" t="s">
        <v>944</v>
      </c>
      <c r="P322" t="s">
        <v>339</v>
      </c>
      <c r="Q322" t="s">
        <v>772</v>
      </c>
      <c r="R322" t="s">
        <v>458</v>
      </c>
      <c r="S322" t="s">
        <v>771</v>
      </c>
      <c r="T322" t="s">
        <v>813</v>
      </c>
      <c r="U322" t="s">
        <v>745</v>
      </c>
      <c r="V322" t="s">
        <v>752</v>
      </c>
      <c r="W322" t="s">
        <v>758</v>
      </c>
      <c r="X322" t="s">
        <v>935</v>
      </c>
      <c r="Y322" t="s">
        <v>796</v>
      </c>
      <c r="Z322" t="s">
        <v>766</v>
      </c>
      <c r="AA322" t="s">
        <v>736</v>
      </c>
      <c r="AB322" t="s">
        <v>677</v>
      </c>
      <c r="AC322" t="s">
        <v>852</v>
      </c>
      <c r="AD322" t="s">
        <v>750</v>
      </c>
    </row>
    <row r="323" spans="1:30" x14ac:dyDescent="0.35">
      <c r="A323" t="s">
        <v>30</v>
      </c>
      <c r="B323">
        <v>2022</v>
      </c>
      <c r="C323" t="s">
        <v>31</v>
      </c>
      <c r="D323" t="s">
        <v>643</v>
      </c>
      <c r="E323" t="s">
        <v>992</v>
      </c>
      <c r="F323" t="s">
        <v>993</v>
      </c>
      <c r="G323" t="s">
        <v>922</v>
      </c>
      <c r="H323" t="s">
        <v>994</v>
      </c>
      <c r="I323" t="s">
        <v>610</v>
      </c>
      <c r="J323" t="s">
        <v>707</v>
      </c>
      <c r="K323" t="s">
        <v>732</v>
      </c>
      <c r="L323" t="s">
        <v>284</v>
      </c>
      <c r="M323" t="s">
        <v>814</v>
      </c>
      <c r="N323" t="s">
        <v>755</v>
      </c>
      <c r="O323" t="s">
        <v>975</v>
      </c>
      <c r="P323" t="s">
        <v>752</v>
      </c>
      <c r="Q323" t="s">
        <v>995</v>
      </c>
      <c r="R323" t="s">
        <v>675</v>
      </c>
      <c r="S323" t="s">
        <v>781</v>
      </c>
      <c r="T323" t="s">
        <v>996</v>
      </c>
      <c r="U323" t="s">
        <v>48</v>
      </c>
      <c r="V323" t="s">
        <v>468</v>
      </c>
      <c r="W323" t="s">
        <v>209</v>
      </c>
      <c r="X323" t="s">
        <v>970</v>
      </c>
      <c r="Y323" t="s">
        <v>479</v>
      </c>
      <c r="Z323" t="s">
        <v>209</v>
      </c>
      <c r="AA323" t="s">
        <v>787</v>
      </c>
      <c r="AB323" t="s">
        <v>687</v>
      </c>
      <c r="AC323" t="s">
        <v>997</v>
      </c>
      <c r="AD323" t="s">
        <v>890</v>
      </c>
    </row>
    <row r="324" spans="1:30" x14ac:dyDescent="0.35">
      <c r="A324" t="s">
        <v>54</v>
      </c>
      <c r="B324">
        <v>2022</v>
      </c>
      <c r="C324" t="s">
        <v>31</v>
      </c>
      <c r="D324" t="s">
        <v>633</v>
      </c>
      <c r="E324" t="s">
        <v>958</v>
      </c>
      <c r="F324" t="s">
        <v>759</v>
      </c>
      <c r="G324" t="s">
        <v>474</v>
      </c>
      <c r="H324" t="s">
        <v>822</v>
      </c>
      <c r="I324" t="s">
        <v>821</v>
      </c>
      <c r="J324" t="s">
        <v>998</v>
      </c>
      <c r="K324" t="s">
        <v>502</v>
      </c>
      <c r="L324" t="s">
        <v>344</v>
      </c>
      <c r="M324" t="s">
        <v>755</v>
      </c>
      <c r="N324" t="s">
        <v>669</v>
      </c>
      <c r="O324" t="s">
        <v>999</v>
      </c>
      <c r="P324" t="s">
        <v>529</v>
      </c>
      <c r="Q324" t="s">
        <v>1000</v>
      </c>
      <c r="R324" t="s">
        <v>742</v>
      </c>
      <c r="S324" t="s">
        <v>744</v>
      </c>
      <c r="T324" t="s">
        <v>462</v>
      </c>
      <c r="U324" t="s">
        <v>757</v>
      </c>
      <c r="V324" t="s">
        <v>749</v>
      </c>
      <c r="W324" t="s">
        <v>356</v>
      </c>
      <c r="X324" t="s">
        <v>868</v>
      </c>
      <c r="Y324" t="s">
        <v>764</v>
      </c>
      <c r="Z324" t="s">
        <v>487</v>
      </c>
      <c r="AA324" t="s">
        <v>685</v>
      </c>
      <c r="AB324" t="s">
        <v>514</v>
      </c>
      <c r="AC324" t="s">
        <v>803</v>
      </c>
      <c r="AD324" t="s">
        <v>792</v>
      </c>
    </row>
    <row r="325" spans="1:30" x14ac:dyDescent="0.35">
      <c r="A325" t="s">
        <v>73</v>
      </c>
      <c r="B325">
        <v>2022</v>
      </c>
      <c r="C325" t="s">
        <v>31</v>
      </c>
      <c r="D325" t="s">
        <v>438</v>
      </c>
      <c r="E325" t="s">
        <v>1001</v>
      </c>
      <c r="F325" t="s">
        <v>775</v>
      </c>
      <c r="G325" t="s">
        <v>922</v>
      </c>
      <c r="H325" t="s">
        <v>1002</v>
      </c>
      <c r="I325" t="s">
        <v>778</v>
      </c>
      <c r="J325" t="s">
        <v>203</v>
      </c>
      <c r="K325" t="s">
        <v>897</v>
      </c>
      <c r="L325" t="s">
        <v>298</v>
      </c>
      <c r="M325" t="s">
        <v>611</v>
      </c>
      <c r="N325" t="s">
        <v>532</v>
      </c>
      <c r="O325" t="s">
        <v>1003</v>
      </c>
      <c r="P325" t="s">
        <v>890</v>
      </c>
      <c r="Q325" t="s">
        <v>896</v>
      </c>
      <c r="R325" t="s">
        <v>787</v>
      </c>
      <c r="S325" t="s">
        <v>668</v>
      </c>
      <c r="T325" t="s">
        <v>458</v>
      </c>
      <c r="U325" t="s">
        <v>757</v>
      </c>
      <c r="V325" t="s">
        <v>753</v>
      </c>
      <c r="W325" t="s">
        <v>329</v>
      </c>
      <c r="X325" t="s">
        <v>903</v>
      </c>
      <c r="Y325" t="s">
        <v>821</v>
      </c>
      <c r="Z325" t="s">
        <v>525</v>
      </c>
      <c r="AA325" t="s">
        <v>742</v>
      </c>
      <c r="AB325" t="s">
        <v>739</v>
      </c>
      <c r="AC325" t="s">
        <v>536</v>
      </c>
      <c r="AD325" t="s">
        <v>768</v>
      </c>
    </row>
    <row r="326" spans="1:30" x14ac:dyDescent="0.35">
      <c r="A326" t="s">
        <v>30</v>
      </c>
      <c r="B326">
        <v>2022</v>
      </c>
      <c r="C326" t="s">
        <v>85</v>
      </c>
      <c r="D326" t="s">
        <v>726</v>
      </c>
      <c r="E326" t="s">
        <v>1004</v>
      </c>
      <c r="F326" t="s">
        <v>981</v>
      </c>
      <c r="G326" t="s">
        <v>668</v>
      </c>
      <c r="H326" t="s">
        <v>994</v>
      </c>
      <c r="I326" t="s">
        <v>550</v>
      </c>
      <c r="J326" t="s">
        <v>478</v>
      </c>
      <c r="K326" t="s">
        <v>897</v>
      </c>
      <c r="L326" t="s">
        <v>214</v>
      </c>
      <c r="M326" t="s">
        <v>974</v>
      </c>
      <c r="N326" t="s">
        <v>812</v>
      </c>
      <c r="O326" t="s">
        <v>1005</v>
      </c>
      <c r="P326" t="s">
        <v>897</v>
      </c>
      <c r="Q326" t="s">
        <v>798</v>
      </c>
      <c r="R326" t="s">
        <v>948</v>
      </c>
      <c r="S326" t="s">
        <v>822</v>
      </c>
      <c r="T326" t="s">
        <v>561</v>
      </c>
      <c r="U326" t="s">
        <v>48</v>
      </c>
      <c r="V326" t="s">
        <v>522</v>
      </c>
      <c r="W326" t="s">
        <v>768</v>
      </c>
      <c r="X326" t="s">
        <v>870</v>
      </c>
      <c r="Y326" t="s">
        <v>525</v>
      </c>
      <c r="Z326" t="s">
        <v>447</v>
      </c>
      <c r="AA326" t="s">
        <v>529</v>
      </c>
      <c r="AB326" t="s">
        <v>757</v>
      </c>
      <c r="AC326" t="s">
        <v>797</v>
      </c>
      <c r="AD326" t="s">
        <v>756</v>
      </c>
    </row>
    <row r="327" spans="1:30" x14ac:dyDescent="0.35">
      <c r="A327" t="s">
        <v>54</v>
      </c>
      <c r="B327">
        <v>2022</v>
      </c>
      <c r="C327" t="s">
        <v>85</v>
      </c>
      <c r="D327" t="s">
        <v>556</v>
      </c>
      <c r="E327" t="s">
        <v>1006</v>
      </c>
      <c r="F327" t="s">
        <v>519</v>
      </c>
      <c r="G327" t="s">
        <v>766</v>
      </c>
      <c r="H327" t="s">
        <v>499</v>
      </c>
      <c r="I327" t="s">
        <v>703</v>
      </c>
      <c r="J327" t="s">
        <v>905</v>
      </c>
      <c r="K327" t="s">
        <v>687</v>
      </c>
      <c r="L327" t="s">
        <v>314</v>
      </c>
      <c r="M327" t="s">
        <v>587</v>
      </c>
      <c r="N327" t="s">
        <v>748</v>
      </c>
      <c r="O327" t="s">
        <v>815</v>
      </c>
      <c r="P327" t="s">
        <v>602</v>
      </c>
      <c r="Q327" t="s">
        <v>951</v>
      </c>
      <c r="R327" t="s">
        <v>768</v>
      </c>
      <c r="S327" t="s">
        <v>701</v>
      </c>
      <c r="T327" t="s">
        <v>745</v>
      </c>
      <c r="U327" t="s">
        <v>447</v>
      </c>
      <c r="V327" t="s">
        <v>739</v>
      </c>
      <c r="W327" t="s">
        <v>776</v>
      </c>
      <c r="X327" t="s">
        <v>761</v>
      </c>
      <c r="Y327" t="s">
        <v>805</v>
      </c>
      <c r="Z327" t="s">
        <v>628</v>
      </c>
      <c r="AA327" t="s">
        <v>852</v>
      </c>
      <c r="AB327" t="s">
        <v>753</v>
      </c>
      <c r="AC327" t="s">
        <v>873</v>
      </c>
      <c r="AD327" t="s">
        <v>447</v>
      </c>
    </row>
    <row r="328" spans="1:30" x14ac:dyDescent="0.35">
      <c r="A328" t="s">
        <v>73</v>
      </c>
      <c r="B328">
        <v>2022</v>
      </c>
      <c r="C328" t="s">
        <v>85</v>
      </c>
      <c r="D328" t="s">
        <v>463</v>
      </c>
      <c r="E328" t="s">
        <v>839</v>
      </c>
      <c r="F328" t="s">
        <v>975</v>
      </c>
      <c r="G328" t="s">
        <v>668</v>
      </c>
      <c r="H328" t="s">
        <v>1007</v>
      </c>
      <c r="I328" t="s">
        <v>778</v>
      </c>
      <c r="J328" t="s">
        <v>908</v>
      </c>
      <c r="K328" t="s">
        <v>784</v>
      </c>
      <c r="L328" t="s">
        <v>213</v>
      </c>
      <c r="M328" t="s">
        <v>203</v>
      </c>
      <c r="N328" t="s">
        <v>742</v>
      </c>
      <c r="O328" t="s">
        <v>993</v>
      </c>
      <c r="P328" t="s">
        <v>750</v>
      </c>
      <c r="Q328" t="s">
        <v>235</v>
      </c>
      <c r="R328" t="s">
        <v>801</v>
      </c>
      <c r="S328" t="s">
        <v>738</v>
      </c>
      <c r="T328" t="s">
        <v>980</v>
      </c>
      <c r="U328" t="s">
        <v>447</v>
      </c>
      <c r="V328" t="s">
        <v>768</v>
      </c>
      <c r="W328" t="s">
        <v>817</v>
      </c>
      <c r="X328" t="s">
        <v>587</v>
      </c>
      <c r="Y328" t="s">
        <v>586</v>
      </c>
      <c r="Z328" t="s">
        <v>350</v>
      </c>
      <c r="AA328" t="s">
        <v>459</v>
      </c>
      <c r="AB328" t="s">
        <v>736</v>
      </c>
      <c r="AC328" t="s">
        <v>590</v>
      </c>
      <c r="AD328" t="s">
        <v>868</v>
      </c>
    </row>
    <row r="329" spans="1:30" x14ac:dyDescent="0.35">
      <c r="A329" t="s">
        <v>30</v>
      </c>
      <c r="B329">
        <v>2022</v>
      </c>
      <c r="C329" t="s">
        <v>107</v>
      </c>
      <c r="D329" t="s">
        <v>734</v>
      </c>
      <c r="E329" t="s">
        <v>1008</v>
      </c>
      <c r="F329" t="s">
        <v>620</v>
      </c>
      <c r="G329" t="s">
        <v>852</v>
      </c>
      <c r="H329" t="s">
        <v>1009</v>
      </c>
      <c r="I329" t="s">
        <v>724</v>
      </c>
      <c r="J329" t="s">
        <v>740</v>
      </c>
      <c r="K329" t="s">
        <v>753</v>
      </c>
      <c r="L329" t="s">
        <v>214</v>
      </c>
      <c r="M329" t="s">
        <v>918</v>
      </c>
      <c r="N329" t="s">
        <v>223</v>
      </c>
      <c r="O329" t="s">
        <v>582</v>
      </c>
      <c r="P329" t="s">
        <v>997</v>
      </c>
      <c r="Q329" t="s">
        <v>1010</v>
      </c>
      <c r="R329" t="s">
        <v>974</v>
      </c>
      <c r="S329" t="s">
        <v>675</v>
      </c>
      <c r="T329" t="s">
        <v>653</v>
      </c>
      <c r="U329" t="s">
        <v>48</v>
      </c>
      <c r="V329" t="s">
        <v>906</v>
      </c>
      <c r="W329" t="s">
        <v>774</v>
      </c>
      <c r="X329" t="s">
        <v>1011</v>
      </c>
      <c r="Y329" t="s">
        <v>852</v>
      </c>
      <c r="Z329" t="s">
        <v>997</v>
      </c>
      <c r="AA329" t="s">
        <v>935</v>
      </c>
      <c r="AB329" t="s">
        <v>522</v>
      </c>
      <c r="AC329" t="s">
        <v>941</v>
      </c>
      <c r="AD329" t="s">
        <v>622</v>
      </c>
    </row>
    <row r="330" spans="1:30" x14ac:dyDescent="0.35">
      <c r="A330" t="s">
        <v>54</v>
      </c>
      <c r="B330">
        <v>2022</v>
      </c>
      <c r="C330" t="s">
        <v>107</v>
      </c>
      <c r="D330" t="s">
        <v>778</v>
      </c>
      <c r="E330" t="s">
        <v>1012</v>
      </c>
      <c r="F330" t="s">
        <v>960</v>
      </c>
      <c r="G330" t="s">
        <v>677</v>
      </c>
      <c r="H330" t="s">
        <v>815</v>
      </c>
      <c r="I330" t="s">
        <v>355</v>
      </c>
      <c r="J330" t="s">
        <v>577</v>
      </c>
      <c r="K330" t="s">
        <v>745</v>
      </c>
      <c r="L330" t="s">
        <v>293</v>
      </c>
      <c r="M330" t="s">
        <v>970</v>
      </c>
      <c r="N330" t="s">
        <v>672</v>
      </c>
      <c r="O330" t="s">
        <v>1013</v>
      </c>
      <c r="P330" t="s">
        <v>499</v>
      </c>
      <c r="Q330" t="s">
        <v>894</v>
      </c>
      <c r="R330" t="s">
        <v>782</v>
      </c>
      <c r="S330" t="s">
        <v>735</v>
      </c>
      <c r="T330" t="s">
        <v>209</v>
      </c>
      <c r="U330" t="s">
        <v>475</v>
      </c>
      <c r="V330" t="s">
        <v>757</v>
      </c>
      <c r="W330" t="s">
        <v>803</v>
      </c>
      <c r="X330" t="s">
        <v>339</v>
      </c>
      <c r="Y330" t="s">
        <v>466</v>
      </c>
      <c r="Z330" t="s">
        <v>479</v>
      </c>
      <c r="AA330" t="s">
        <v>536</v>
      </c>
      <c r="AB330" t="s">
        <v>810</v>
      </c>
      <c r="AC330" t="s">
        <v>766</v>
      </c>
      <c r="AD330" t="s">
        <v>774</v>
      </c>
    </row>
    <row r="331" spans="1:30" x14ac:dyDescent="0.35">
      <c r="A331" t="s">
        <v>73</v>
      </c>
      <c r="B331">
        <v>2022</v>
      </c>
      <c r="C331" t="s">
        <v>107</v>
      </c>
      <c r="D331" t="s">
        <v>711</v>
      </c>
      <c r="E331" t="s">
        <v>1014</v>
      </c>
      <c r="F331" t="s">
        <v>790</v>
      </c>
      <c r="G331" t="s">
        <v>462</v>
      </c>
      <c r="H331" t="s">
        <v>1015</v>
      </c>
      <c r="I331" t="s">
        <v>450</v>
      </c>
      <c r="J331" t="s">
        <v>925</v>
      </c>
      <c r="K331" t="s">
        <v>897</v>
      </c>
      <c r="L331" t="s">
        <v>263</v>
      </c>
      <c r="M331" t="s">
        <v>582</v>
      </c>
      <c r="N331" t="s">
        <v>475</v>
      </c>
      <c r="O331" t="s">
        <v>920</v>
      </c>
      <c r="P331" t="s">
        <v>957</v>
      </c>
      <c r="Q331" t="s">
        <v>842</v>
      </c>
      <c r="R331" t="s">
        <v>611</v>
      </c>
      <c r="S331" t="s">
        <v>483</v>
      </c>
      <c r="T331" t="s">
        <v>915</v>
      </c>
      <c r="U331" t="s">
        <v>475</v>
      </c>
      <c r="V331" t="s">
        <v>761</v>
      </c>
      <c r="W331" t="s">
        <v>514</v>
      </c>
      <c r="X331" t="s">
        <v>912</v>
      </c>
      <c r="Y331" t="s">
        <v>714</v>
      </c>
      <c r="Z331" t="s">
        <v>731</v>
      </c>
      <c r="AA331" t="s">
        <v>546</v>
      </c>
      <c r="AB331" t="s">
        <v>761</v>
      </c>
      <c r="AC331" t="s">
        <v>483</v>
      </c>
      <c r="AD331" t="s">
        <v>960</v>
      </c>
    </row>
    <row r="332" spans="1:30" x14ac:dyDescent="0.35">
      <c r="A332" t="s">
        <v>30</v>
      </c>
      <c r="B332">
        <v>2022</v>
      </c>
      <c r="C332" t="s">
        <v>123</v>
      </c>
      <c r="D332" t="s">
        <v>194</v>
      </c>
      <c r="E332" t="s">
        <v>1016</v>
      </c>
      <c r="F332" t="s">
        <v>757</v>
      </c>
      <c r="G332" t="s">
        <v>502</v>
      </c>
      <c r="H332" t="s">
        <v>947</v>
      </c>
      <c r="I332" t="s">
        <v>908</v>
      </c>
      <c r="J332" t="s">
        <v>443</v>
      </c>
      <c r="K332" t="s">
        <v>763</v>
      </c>
      <c r="L332" t="s">
        <v>289</v>
      </c>
      <c r="M332" t="s">
        <v>832</v>
      </c>
      <c r="N332" t="s">
        <v>321</v>
      </c>
      <c r="O332" t="s">
        <v>1017</v>
      </c>
      <c r="P332" t="s">
        <v>347</v>
      </c>
      <c r="Q332" t="s">
        <v>235</v>
      </c>
      <c r="R332" t="s">
        <v>1018</v>
      </c>
      <c r="S332" t="s">
        <v>653</v>
      </c>
      <c r="T332" t="s">
        <v>1019</v>
      </c>
      <c r="U332" t="s">
        <v>48</v>
      </c>
      <c r="V332" t="s">
        <v>814</v>
      </c>
      <c r="W332" t="s">
        <v>960</v>
      </c>
      <c r="X332" t="s">
        <v>189</v>
      </c>
      <c r="Y332" t="s">
        <v>750</v>
      </c>
      <c r="Z332" t="s">
        <v>761</v>
      </c>
      <c r="AA332" t="s">
        <v>936</v>
      </c>
      <c r="AB332" t="s">
        <v>962</v>
      </c>
      <c r="AC332" t="s">
        <v>602</v>
      </c>
      <c r="AD332" t="s">
        <v>801</v>
      </c>
    </row>
    <row r="333" spans="1:30" x14ac:dyDescent="0.35">
      <c r="A333" t="s">
        <v>54</v>
      </c>
      <c r="B333">
        <v>2022</v>
      </c>
      <c r="C333" t="s">
        <v>123</v>
      </c>
      <c r="D333" t="s">
        <v>783</v>
      </c>
      <c r="E333" t="s">
        <v>1012</v>
      </c>
      <c r="F333" t="s">
        <v>483</v>
      </c>
      <c r="G333" t="s">
        <v>753</v>
      </c>
      <c r="H333" t="s">
        <v>1020</v>
      </c>
      <c r="I333" t="s">
        <v>966</v>
      </c>
      <c r="J333" t="s">
        <v>995</v>
      </c>
      <c r="K333" t="s">
        <v>732</v>
      </c>
      <c r="L333" t="s">
        <v>248</v>
      </c>
      <c r="M333" t="s">
        <v>993</v>
      </c>
      <c r="N333" t="s">
        <v>709</v>
      </c>
      <c r="O333" t="s">
        <v>950</v>
      </c>
      <c r="P333" t="s">
        <v>1021</v>
      </c>
      <c r="Q333" t="s">
        <v>1022</v>
      </c>
      <c r="R333" t="s">
        <v>957</v>
      </c>
      <c r="S333" t="s">
        <v>663</v>
      </c>
      <c r="T333" t="s">
        <v>777</v>
      </c>
      <c r="U333" t="s">
        <v>813</v>
      </c>
      <c r="V333" t="s">
        <v>812</v>
      </c>
      <c r="W333" t="s">
        <v>779</v>
      </c>
      <c r="X333" t="s">
        <v>962</v>
      </c>
      <c r="Y333" t="s">
        <v>696</v>
      </c>
      <c r="Z333" t="s">
        <v>462</v>
      </c>
      <c r="AA333" t="s">
        <v>732</v>
      </c>
      <c r="AB333" t="s">
        <v>957</v>
      </c>
      <c r="AC333" t="s">
        <v>946</v>
      </c>
      <c r="AD333" t="s">
        <v>557</v>
      </c>
    </row>
    <row r="334" spans="1:30" x14ac:dyDescent="0.35">
      <c r="A334" t="s">
        <v>73</v>
      </c>
      <c r="B334">
        <v>2022</v>
      </c>
      <c r="C334" t="s">
        <v>123</v>
      </c>
      <c r="D334" t="s">
        <v>596</v>
      </c>
      <c r="E334" t="s">
        <v>1023</v>
      </c>
      <c r="F334" t="s">
        <v>757</v>
      </c>
      <c r="G334" t="s">
        <v>897</v>
      </c>
      <c r="H334" t="s">
        <v>1024</v>
      </c>
      <c r="I334" t="s">
        <v>1025</v>
      </c>
      <c r="J334" t="s">
        <v>750</v>
      </c>
      <c r="K334" t="s">
        <v>742</v>
      </c>
      <c r="L334" t="s">
        <v>262</v>
      </c>
      <c r="M334" t="s">
        <v>1026</v>
      </c>
      <c r="N334" t="s">
        <v>750</v>
      </c>
      <c r="O334" t="s">
        <v>824</v>
      </c>
      <c r="P334" t="s">
        <v>801</v>
      </c>
      <c r="Q334" t="s">
        <v>1027</v>
      </c>
      <c r="R334" t="s">
        <v>955</v>
      </c>
      <c r="S334" t="s">
        <v>774</v>
      </c>
      <c r="T334" t="s">
        <v>953</v>
      </c>
      <c r="U334" t="s">
        <v>813</v>
      </c>
      <c r="V334" t="s">
        <v>587</v>
      </c>
      <c r="W334" t="s">
        <v>732</v>
      </c>
      <c r="X334" t="s">
        <v>985</v>
      </c>
      <c r="Y334" t="s">
        <v>677</v>
      </c>
      <c r="Z334" t="s">
        <v>736</v>
      </c>
      <c r="AA334" t="s">
        <v>925</v>
      </c>
      <c r="AB334" t="s">
        <v>902</v>
      </c>
      <c r="AC334" t="s">
        <v>810</v>
      </c>
      <c r="AD334" t="s">
        <v>809</v>
      </c>
    </row>
    <row r="335" spans="1:30" x14ac:dyDescent="0.35">
      <c r="A335" t="s">
        <v>30</v>
      </c>
      <c r="B335">
        <v>2022</v>
      </c>
      <c r="C335" t="s">
        <v>136</v>
      </c>
      <c r="D335" t="s">
        <v>596</v>
      </c>
      <c r="E335" t="s">
        <v>1028</v>
      </c>
      <c r="F335" t="s">
        <v>723</v>
      </c>
      <c r="G335" t="s">
        <v>483</v>
      </c>
      <c r="H335" t="s">
        <v>1029</v>
      </c>
      <c r="I335" t="s">
        <v>679</v>
      </c>
      <c r="J335" t="s">
        <v>474</v>
      </c>
      <c r="K335" t="s">
        <v>792</v>
      </c>
      <c r="L335" t="s">
        <v>213</v>
      </c>
      <c r="M335" t="s">
        <v>1030</v>
      </c>
      <c r="N335" t="s">
        <v>675</v>
      </c>
      <c r="O335" t="s">
        <v>931</v>
      </c>
      <c r="P335" t="s">
        <v>801</v>
      </c>
      <c r="Q335" t="s">
        <v>982</v>
      </c>
      <c r="R335" t="s">
        <v>920</v>
      </c>
      <c r="S335" t="s">
        <v>1031</v>
      </c>
      <c r="T335" t="s">
        <v>999</v>
      </c>
      <c r="U335" t="s">
        <v>48</v>
      </c>
      <c r="V335" t="s">
        <v>870</v>
      </c>
      <c r="W335" t="s">
        <v>906</v>
      </c>
      <c r="X335" t="s">
        <v>1032</v>
      </c>
      <c r="Y335" t="s">
        <v>782</v>
      </c>
      <c r="Z335" t="s">
        <v>799</v>
      </c>
      <c r="AA335" t="s">
        <v>570</v>
      </c>
      <c r="AB335" t="s">
        <v>458</v>
      </c>
      <c r="AC335" t="s">
        <v>936</v>
      </c>
      <c r="AD335" t="s">
        <v>913</v>
      </c>
    </row>
    <row r="336" spans="1:30" x14ac:dyDescent="0.35">
      <c r="A336" t="s">
        <v>54</v>
      </c>
      <c r="B336">
        <v>2022</v>
      </c>
      <c r="C336" t="s">
        <v>136</v>
      </c>
      <c r="D336" t="s">
        <v>748</v>
      </c>
      <c r="E336" t="s">
        <v>1033</v>
      </c>
      <c r="F336" t="s">
        <v>752</v>
      </c>
      <c r="G336" t="s">
        <v>459</v>
      </c>
      <c r="H336" t="s">
        <v>1034</v>
      </c>
      <c r="I336" t="s">
        <v>1021</v>
      </c>
      <c r="J336" t="s">
        <v>1035</v>
      </c>
      <c r="K336" t="s">
        <v>752</v>
      </c>
      <c r="L336" t="s">
        <v>258</v>
      </c>
      <c r="M336" t="s">
        <v>1036</v>
      </c>
      <c r="N336" t="s">
        <v>751</v>
      </c>
      <c r="O336" t="s">
        <v>1007</v>
      </c>
      <c r="P336" t="s">
        <v>1018</v>
      </c>
      <c r="Q336" t="s">
        <v>894</v>
      </c>
      <c r="R336" t="s">
        <v>614</v>
      </c>
      <c r="S336" t="s">
        <v>724</v>
      </c>
      <c r="T336" t="s">
        <v>790</v>
      </c>
      <c r="U336" t="s">
        <v>543</v>
      </c>
      <c r="V336" t="s">
        <v>938</v>
      </c>
      <c r="W336" t="s">
        <v>329</v>
      </c>
      <c r="X336" t="s">
        <v>809</v>
      </c>
      <c r="Y336" t="s">
        <v>873</v>
      </c>
      <c r="Z336" t="s">
        <v>687</v>
      </c>
      <c r="AA336" t="s">
        <v>762</v>
      </c>
      <c r="AB336" t="s">
        <v>339</v>
      </c>
      <c r="AC336" t="s">
        <v>502</v>
      </c>
      <c r="AD336" t="s">
        <v>801</v>
      </c>
    </row>
    <row r="337" spans="1:30" x14ac:dyDescent="0.35">
      <c r="A337" t="s">
        <v>73</v>
      </c>
      <c r="B337">
        <v>2022</v>
      </c>
      <c r="C337" t="s">
        <v>136</v>
      </c>
      <c r="D337" t="s">
        <v>716</v>
      </c>
      <c r="E337" t="s">
        <v>793</v>
      </c>
      <c r="F337" t="s">
        <v>738</v>
      </c>
      <c r="G337" t="s">
        <v>209</v>
      </c>
      <c r="H337" t="s">
        <v>1037</v>
      </c>
      <c r="I337" t="s">
        <v>822</v>
      </c>
      <c r="J337" t="s">
        <v>617</v>
      </c>
      <c r="K337" t="s">
        <v>742</v>
      </c>
      <c r="L337" t="s">
        <v>306</v>
      </c>
      <c r="M337" t="s">
        <v>1007</v>
      </c>
      <c r="N337" t="s">
        <v>782</v>
      </c>
      <c r="O337" t="s">
        <v>1038</v>
      </c>
      <c r="P337" t="s">
        <v>814</v>
      </c>
      <c r="Q337" t="s">
        <v>1039</v>
      </c>
      <c r="R337" t="s">
        <v>594</v>
      </c>
      <c r="S337" t="s">
        <v>957</v>
      </c>
      <c r="T337" t="s">
        <v>1040</v>
      </c>
      <c r="U337" t="s">
        <v>543</v>
      </c>
      <c r="V337" t="s">
        <v>1040</v>
      </c>
      <c r="W337" t="s">
        <v>762</v>
      </c>
      <c r="X337" t="s">
        <v>1041</v>
      </c>
      <c r="Y337" t="s">
        <v>739</v>
      </c>
      <c r="Z337" t="s">
        <v>763</v>
      </c>
      <c r="AA337" t="s">
        <v>620</v>
      </c>
      <c r="AB337" t="s">
        <v>957</v>
      </c>
      <c r="AC337" t="s">
        <v>543</v>
      </c>
      <c r="AD337" t="s">
        <v>554</v>
      </c>
    </row>
    <row r="338" spans="1:30" x14ac:dyDescent="0.35">
      <c r="A338" t="s">
        <v>30</v>
      </c>
      <c r="B338">
        <v>2022</v>
      </c>
      <c r="C338" t="s">
        <v>146</v>
      </c>
      <c r="D338" t="s">
        <v>704</v>
      </c>
      <c r="E338" t="s">
        <v>1042</v>
      </c>
      <c r="F338" t="s">
        <v>980</v>
      </c>
      <c r="G338" t="s">
        <v>459</v>
      </c>
      <c r="H338" t="s">
        <v>1043</v>
      </c>
      <c r="I338" t="s">
        <v>468</v>
      </c>
      <c r="J338" t="s">
        <v>797</v>
      </c>
      <c r="K338" t="s">
        <v>483</v>
      </c>
      <c r="L338" t="s">
        <v>201</v>
      </c>
      <c r="M338" t="s">
        <v>846</v>
      </c>
      <c r="N338" t="s">
        <v>1044</v>
      </c>
      <c r="O338" t="s">
        <v>334</v>
      </c>
      <c r="P338" t="s">
        <v>321</v>
      </c>
      <c r="Q338" t="s">
        <v>982</v>
      </c>
      <c r="R338" t="s">
        <v>927</v>
      </c>
      <c r="S338" t="s">
        <v>918</v>
      </c>
      <c r="T338" t="s">
        <v>931</v>
      </c>
      <c r="U338" t="s">
        <v>48</v>
      </c>
      <c r="V338" t="s">
        <v>1045</v>
      </c>
      <c r="W338" t="s">
        <v>529</v>
      </c>
      <c r="X338" t="s">
        <v>988</v>
      </c>
      <c r="Y338" t="s">
        <v>447</v>
      </c>
      <c r="Z338" t="s">
        <v>679</v>
      </c>
      <c r="AA338" t="s">
        <v>1025</v>
      </c>
      <c r="AB338" t="s">
        <v>1046</v>
      </c>
      <c r="AC338" t="s">
        <v>822</v>
      </c>
      <c r="AD338" t="s">
        <v>597</v>
      </c>
    </row>
    <row r="339" spans="1:30" x14ac:dyDescent="0.35">
      <c r="A339" t="s">
        <v>54</v>
      </c>
      <c r="B339">
        <v>2022</v>
      </c>
      <c r="C339" t="s">
        <v>146</v>
      </c>
      <c r="D339" t="s">
        <v>709</v>
      </c>
      <c r="E339" t="s">
        <v>1047</v>
      </c>
      <c r="F339" t="s">
        <v>953</v>
      </c>
      <c r="G339" t="s">
        <v>890</v>
      </c>
      <c r="H339" t="s">
        <v>849</v>
      </c>
      <c r="I339" t="s">
        <v>948</v>
      </c>
      <c r="J339" t="s">
        <v>1048</v>
      </c>
      <c r="K339" t="s">
        <v>863</v>
      </c>
      <c r="L339" t="s">
        <v>280</v>
      </c>
      <c r="M339" t="s">
        <v>216</v>
      </c>
      <c r="N339" t="s">
        <v>593</v>
      </c>
      <c r="O339" t="s">
        <v>838</v>
      </c>
      <c r="P339" t="s">
        <v>920</v>
      </c>
      <c r="Q339" t="s">
        <v>1049</v>
      </c>
      <c r="R339" t="s">
        <v>850</v>
      </c>
      <c r="S339" t="s">
        <v>776</v>
      </c>
      <c r="T339" t="s">
        <v>804</v>
      </c>
      <c r="U339" t="s">
        <v>810</v>
      </c>
      <c r="V339" t="s">
        <v>617</v>
      </c>
      <c r="W339" t="s">
        <v>350</v>
      </c>
      <c r="X339" t="s">
        <v>936</v>
      </c>
      <c r="Y339" t="s">
        <v>767</v>
      </c>
      <c r="Z339" t="s">
        <v>752</v>
      </c>
      <c r="AA339" t="s">
        <v>774</v>
      </c>
      <c r="AB339" t="s">
        <v>557</v>
      </c>
      <c r="AC339" t="s">
        <v>502</v>
      </c>
      <c r="AD339" t="s">
        <v>903</v>
      </c>
    </row>
    <row r="340" spans="1:30" x14ac:dyDescent="0.35">
      <c r="A340" t="s">
        <v>73</v>
      </c>
      <c r="B340">
        <v>2022</v>
      </c>
      <c r="C340" t="s">
        <v>146</v>
      </c>
      <c r="D340" t="s">
        <v>795</v>
      </c>
      <c r="E340" t="s">
        <v>1050</v>
      </c>
      <c r="F340" t="s">
        <v>801</v>
      </c>
      <c r="G340" t="s">
        <v>468</v>
      </c>
      <c r="H340" t="s">
        <v>1051</v>
      </c>
      <c r="I340" t="s">
        <v>908</v>
      </c>
      <c r="J340" t="s">
        <v>591</v>
      </c>
      <c r="K340" t="s">
        <v>532</v>
      </c>
      <c r="L340" t="s">
        <v>272</v>
      </c>
      <c r="M340" t="s">
        <v>837</v>
      </c>
      <c r="N340" t="s">
        <v>620</v>
      </c>
      <c r="O340" t="s">
        <v>831</v>
      </c>
      <c r="P340" t="s">
        <v>617</v>
      </c>
      <c r="Q340" t="s">
        <v>1052</v>
      </c>
      <c r="R340" t="s">
        <v>1019</v>
      </c>
      <c r="S340" t="s">
        <v>787</v>
      </c>
      <c r="T340" t="s">
        <v>1011</v>
      </c>
      <c r="U340" t="s">
        <v>810</v>
      </c>
      <c r="V340" t="s">
        <v>1011</v>
      </c>
      <c r="W340" t="s">
        <v>890</v>
      </c>
      <c r="X340" t="s">
        <v>974</v>
      </c>
      <c r="Y340" t="s">
        <v>329</v>
      </c>
      <c r="Z340" t="s">
        <v>468</v>
      </c>
      <c r="AA340" t="s">
        <v>962</v>
      </c>
      <c r="AB340" t="s">
        <v>804</v>
      </c>
      <c r="AC340" t="s">
        <v>543</v>
      </c>
      <c r="AD340" t="s">
        <v>1025</v>
      </c>
    </row>
    <row r="341" spans="1:30" x14ac:dyDescent="0.35">
      <c r="A341" t="s">
        <v>30</v>
      </c>
      <c r="B341">
        <v>2022</v>
      </c>
      <c r="C341" t="s">
        <v>163</v>
      </c>
      <c r="D341" t="s">
        <v>478</v>
      </c>
      <c r="E341" t="s">
        <v>1053</v>
      </c>
      <c r="F341" t="s">
        <v>203</v>
      </c>
      <c r="G341" t="s">
        <v>777</v>
      </c>
      <c r="H341" t="s">
        <v>986</v>
      </c>
      <c r="I341" t="s">
        <v>980</v>
      </c>
      <c r="J341" t="s">
        <v>347</v>
      </c>
      <c r="K341" t="s">
        <v>736</v>
      </c>
      <c r="L341" t="s">
        <v>169</v>
      </c>
      <c r="M341" t="s">
        <v>880</v>
      </c>
      <c r="N341" t="s">
        <v>1021</v>
      </c>
      <c r="O341" t="s">
        <v>240</v>
      </c>
      <c r="P341" t="s">
        <v>913</v>
      </c>
      <c r="Q341" t="s">
        <v>1054</v>
      </c>
      <c r="R341" t="s">
        <v>1055</v>
      </c>
      <c r="S341" t="s">
        <v>1056</v>
      </c>
      <c r="T341" t="s">
        <v>806</v>
      </c>
      <c r="U341" t="s">
        <v>48</v>
      </c>
      <c r="V341" t="s">
        <v>1057</v>
      </c>
      <c r="W341" t="s">
        <v>1058</v>
      </c>
      <c r="X341" t="s">
        <v>775</v>
      </c>
      <c r="Y341" t="s">
        <v>777</v>
      </c>
      <c r="Z341" t="s">
        <v>347</v>
      </c>
      <c r="AA341" t="s">
        <v>970</v>
      </c>
      <c r="AB341" t="s">
        <v>908</v>
      </c>
      <c r="AC341" t="s">
        <v>570</v>
      </c>
      <c r="AD341" t="s">
        <v>203</v>
      </c>
    </row>
    <row r="342" spans="1:30" x14ac:dyDescent="0.35">
      <c r="A342" t="s">
        <v>54</v>
      </c>
      <c r="B342">
        <v>2022</v>
      </c>
      <c r="C342" t="s">
        <v>163</v>
      </c>
      <c r="D342" t="s">
        <v>696</v>
      </c>
      <c r="E342" t="s">
        <v>1059</v>
      </c>
      <c r="F342" t="s">
        <v>964</v>
      </c>
      <c r="G342" t="s">
        <v>782</v>
      </c>
      <c r="H342" t="s">
        <v>859</v>
      </c>
      <c r="I342" t="s">
        <v>576</v>
      </c>
      <c r="J342" t="s">
        <v>1060</v>
      </c>
      <c r="K342" t="s">
        <v>732</v>
      </c>
      <c r="L342" t="s">
        <v>281</v>
      </c>
      <c r="M342" t="s">
        <v>838</v>
      </c>
      <c r="N342" t="s">
        <v>779</v>
      </c>
      <c r="O342" t="s">
        <v>1061</v>
      </c>
      <c r="P342" t="s">
        <v>1062</v>
      </c>
      <c r="Q342" t="s">
        <v>1063</v>
      </c>
      <c r="R342" t="s">
        <v>996</v>
      </c>
      <c r="S342" t="s">
        <v>771</v>
      </c>
      <c r="T342" t="s">
        <v>935</v>
      </c>
      <c r="U342" t="s">
        <v>790</v>
      </c>
      <c r="V342" t="s">
        <v>576</v>
      </c>
      <c r="W342" t="s">
        <v>946</v>
      </c>
      <c r="X342" t="s">
        <v>554</v>
      </c>
      <c r="Y342" t="s">
        <v>776</v>
      </c>
      <c r="Z342" t="s">
        <v>483</v>
      </c>
      <c r="AA342" t="s">
        <v>910</v>
      </c>
      <c r="AB342" t="s">
        <v>755</v>
      </c>
      <c r="AC342" t="s">
        <v>742</v>
      </c>
      <c r="AD342" t="s">
        <v>984</v>
      </c>
    </row>
    <row r="343" spans="1:30" x14ac:dyDescent="0.35">
      <c r="A343" t="s">
        <v>73</v>
      </c>
      <c r="B343">
        <v>2022</v>
      </c>
      <c r="C343" t="s">
        <v>163</v>
      </c>
      <c r="D343" t="s">
        <v>821</v>
      </c>
      <c r="E343" t="s">
        <v>1064</v>
      </c>
      <c r="F343" t="s">
        <v>899</v>
      </c>
      <c r="G343" t="s">
        <v>997</v>
      </c>
      <c r="H343" t="s">
        <v>983</v>
      </c>
      <c r="I343" t="s">
        <v>1044</v>
      </c>
      <c r="J343" t="s">
        <v>940</v>
      </c>
      <c r="K343" t="s">
        <v>532</v>
      </c>
      <c r="L343" t="s">
        <v>298</v>
      </c>
      <c r="M343" t="s">
        <v>1065</v>
      </c>
      <c r="N343" t="s">
        <v>957</v>
      </c>
      <c r="O343" t="s">
        <v>680</v>
      </c>
      <c r="P343" t="s">
        <v>949</v>
      </c>
      <c r="Q343" t="s">
        <v>1015</v>
      </c>
      <c r="R343" t="s">
        <v>866</v>
      </c>
      <c r="S343" t="s">
        <v>1058</v>
      </c>
      <c r="T343" t="s">
        <v>1003</v>
      </c>
      <c r="U343" t="s">
        <v>790</v>
      </c>
      <c r="V343" t="s">
        <v>1057</v>
      </c>
      <c r="W343" t="s">
        <v>522</v>
      </c>
      <c r="X343" t="s">
        <v>1066</v>
      </c>
      <c r="Y343" t="s">
        <v>749</v>
      </c>
      <c r="Z343" t="s">
        <v>777</v>
      </c>
      <c r="AA343" t="s">
        <v>903</v>
      </c>
      <c r="AB343" t="s">
        <v>908</v>
      </c>
      <c r="AC343" t="s">
        <v>957</v>
      </c>
      <c r="AD343" t="s">
        <v>861</v>
      </c>
    </row>
    <row r="344" spans="1:30" x14ac:dyDescent="0.35">
      <c r="A344" t="s">
        <v>30</v>
      </c>
      <c r="B344">
        <v>2022</v>
      </c>
      <c r="C344" t="s">
        <v>182</v>
      </c>
      <c r="D344" t="s">
        <v>628</v>
      </c>
      <c r="E344" t="s">
        <v>1067</v>
      </c>
      <c r="F344" t="s">
        <v>941</v>
      </c>
      <c r="G344" t="s">
        <v>620</v>
      </c>
      <c r="H344" t="s">
        <v>1004</v>
      </c>
      <c r="I344" t="s">
        <v>557</v>
      </c>
      <c r="J344" t="s">
        <v>1068</v>
      </c>
      <c r="K344" t="s">
        <v>782</v>
      </c>
      <c r="L344" t="s">
        <v>224</v>
      </c>
      <c r="M344" t="s">
        <v>926</v>
      </c>
      <c r="N344" t="s">
        <v>1041</v>
      </c>
      <c r="O344" t="s">
        <v>884</v>
      </c>
      <c r="P344" t="s">
        <v>955</v>
      </c>
      <c r="Q344" t="s">
        <v>842</v>
      </c>
      <c r="R344" t="s">
        <v>1069</v>
      </c>
      <c r="S344" t="s">
        <v>806</v>
      </c>
      <c r="T344" t="s">
        <v>1070</v>
      </c>
      <c r="U344" t="s">
        <v>48</v>
      </c>
      <c r="V344" t="s">
        <v>1071</v>
      </c>
      <c r="W344" t="s">
        <v>984</v>
      </c>
      <c r="X344" t="s">
        <v>1062</v>
      </c>
      <c r="Y344" t="s">
        <v>997</v>
      </c>
      <c r="Z344" t="s">
        <v>781</v>
      </c>
      <c r="AA344" t="s">
        <v>607</v>
      </c>
      <c r="AB344" t="s">
        <v>915</v>
      </c>
      <c r="AC344" t="s">
        <v>1025</v>
      </c>
      <c r="AD344" t="s">
        <v>870</v>
      </c>
    </row>
    <row r="345" spans="1:30" x14ac:dyDescent="0.35">
      <c r="A345" t="s">
        <v>54</v>
      </c>
      <c r="B345">
        <v>2022</v>
      </c>
      <c r="C345" t="s">
        <v>182</v>
      </c>
      <c r="D345" t="s">
        <v>350</v>
      </c>
      <c r="E345" t="s">
        <v>933</v>
      </c>
      <c r="F345" t="s">
        <v>935</v>
      </c>
      <c r="G345" t="s">
        <v>957</v>
      </c>
      <c r="H345" t="s">
        <v>1038</v>
      </c>
      <c r="I345" t="s">
        <v>1019</v>
      </c>
      <c r="J345" t="s">
        <v>1072</v>
      </c>
      <c r="K345" t="s">
        <v>797</v>
      </c>
      <c r="L345" t="s">
        <v>265</v>
      </c>
      <c r="M345" t="s">
        <v>932</v>
      </c>
      <c r="N345" t="s">
        <v>922</v>
      </c>
      <c r="O345" t="s">
        <v>846</v>
      </c>
      <c r="P345" t="s">
        <v>931</v>
      </c>
      <c r="Q345" t="s">
        <v>1001</v>
      </c>
      <c r="R345" t="s">
        <v>561</v>
      </c>
      <c r="S345" t="s">
        <v>811</v>
      </c>
      <c r="T345" t="s">
        <v>850</v>
      </c>
      <c r="U345" t="s">
        <v>962</v>
      </c>
      <c r="V345" t="s">
        <v>878</v>
      </c>
      <c r="W345" t="s">
        <v>753</v>
      </c>
      <c r="X345" t="s">
        <v>1025</v>
      </c>
      <c r="Y345" t="s">
        <v>324</v>
      </c>
      <c r="Z345" t="s">
        <v>763</v>
      </c>
      <c r="AA345" t="s">
        <v>787</v>
      </c>
      <c r="AB345" t="s">
        <v>903</v>
      </c>
      <c r="AC345" t="s">
        <v>459</v>
      </c>
      <c r="AD345" t="s">
        <v>1068</v>
      </c>
    </row>
    <row r="346" spans="1:30" x14ac:dyDescent="0.35">
      <c r="A346" t="s">
        <v>73</v>
      </c>
      <c r="B346">
        <v>2022</v>
      </c>
      <c r="C346" t="s">
        <v>182</v>
      </c>
      <c r="D346" t="s">
        <v>712</v>
      </c>
      <c r="E346" t="s">
        <v>1073</v>
      </c>
      <c r="F346" t="s">
        <v>557</v>
      </c>
      <c r="G346" t="s">
        <v>1074</v>
      </c>
      <c r="H346" t="s">
        <v>772</v>
      </c>
      <c r="I346" t="s">
        <v>1075</v>
      </c>
      <c r="J346" t="s">
        <v>819</v>
      </c>
      <c r="K346" t="s">
        <v>761</v>
      </c>
      <c r="L346" t="s">
        <v>291</v>
      </c>
      <c r="M346" t="s">
        <v>1076</v>
      </c>
      <c r="N346" t="s">
        <v>902</v>
      </c>
      <c r="O346" t="s">
        <v>838</v>
      </c>
      <c r="P346" t="s">
        <v>1005</v>
      </c>
      <c r="Q346" t="s">
        <v>1077</v>
      </c>
      <c r="R346" t="s">
        <v>576</v>
      </c>
      <c r="S346" t="s">
        <v>996</v>
      </c>
      <c r="T346" t="s">
        <v>1078</v>
      </c>
      <c r="U346" t="s">
        <v>962</v>
      </c>
      <c r="V346" t="s">
        <v>775</v>
      </c>
      <c r="W346" t="s">
        <v>458</v>
      </c>
      <c r="X346" t="s">
        <v>977</v>
      </c>
      <c r="Y346" t="s">
        <v>733</v>
      </c>
      <c r="Z346" t="s">
        <v>925</v>
      </c>
      <c r="AA346" t="s">
        <v>984</v>
      </c>
      <c r="AB346" t="s">
        <v>223</v>
      </c>
      <c r="AC346" t="s">
        <v>910</v>
      </c>
      <c r="AD346" t="s">
        <v>203</v>
      </c>
    </row>
    <row r="347" spans="1:30" x14ac:dyDescent="0.35">
      <c r="A347" t="s">
        <v>30</v>
      </c>
      <c r="B347">
        <v>2022</v>
      </c>
      <c r="C347" t="s">
        <v>197</v>
      </c>
      <c r="D347" t="s">
        <v>656</v>
      </c>
      <c r="E347" t="s">
        <v>1079</v>
      </c>
      <c r="F347" t="s">
        <v>962</v>
      </c>
      <c r="G347" t="s">
        <v>1046</v>
      </c>
      <c r="H347" t="s">
        <v>1039</v>
      </c>
      <c r="I347" t="s">
        <v>752</v>
      </c>
      <c r="J347" t="s">
        <v>540</v>
      </c>
      <c r="K347" t="s">
        <v>962</v>
      </c>
      <c r="L347" t="s">
        <v>219</v>
      </c>
      <c r="M347" t="s">
        <v>1080</v>
      </c>
      <c r="N347" t="s">
        <v>974</v>
      </c>
      <c r="O347" t="s">
        <v>859</v>
      </c>
      <c r="P347" t="s">
        <v>981</v>
      </c>
      <c r="Q347" t="s">
        <v>1081</v>
      </c>
      <c r="R347" t="s">
        <v>1002</v>
      </c>
      <c r="S347" t="s">
        <v>950</v>
      </c>
      <c r="T347" t="s">
        <v>1082</v>
      </c>
      <c r="U347" t="s">
        <v>48</v>
      </c>
      <c r="V347" t="s">
        <v>1083</v>
      </c>
      <c r="W347" t="s">
        <v>597</v>
      </c>
      <c r="X347" t="s">
        <v>886</v>
      </c>
      <c r="Y347" t="s">
        <v>925</v>
      </c>
      <c r="Z347" t="s">
        <v>614</v>
      </c>
      <c r="AA347" t="s">
        <v>924</v>
      </c>
      <c r="AB347" t="s">
        <v>801</v>
      </c>
      <c r="AC347" t="s">
        <v>1068</v>
      </c>
      <c r="AD347" t="s">
        <v>519</v>
      </c>
    </row>
    <row r="348" spans="1:30" x14ac:dyDescent="0.35">
      <c r="A348" t="s">
        <v>54</v>
      </c>
      <c r="B348">
        <v>2022</v>
      </c>
      <c r="C348" t="s">
        <v>197</v>
      </c>
      <c r="D348" t="s">
        <v>209</v>
      </c>
      <c r="E348" t="s">
        <v>1084</v>
      </c>
      <c r="F348" t="s">
        <v>936</v>
      </c>
      <c r="G348" t="s">
        <v>809</v>
      </c>
      <c r="H348" t="s">
        <v>920</v>
      </c>
      <c r="I348" t="s">
        <v>543</v>
      </c>
      <c r="J348" t="s">
        <v>1085</v>
      </c>
      <c r="K348" t="s">
        <v>557</v>
      </c>
      <c r="L348" t="s">
        <v>307</v>
      </c>
      <c r="M348" t="s">
        <v>1076</v>
      </c>
      <c r="N348" t="s">
        <v>329</v>
      </c>
      <c r="O348" t="s">
        <v>921</v>
      </c>
      <c r="P348" t="s">
        <v>1086</v>
      </c>
      <c r="Q348" t="s">
        <v>1087</v>
      </c>
      <c r="R348" t="s">
        <v>949</v>
      </c>
      <c r="S348" t="s">
        <v>624</v>
      </c>
      <c r="T348" t="s">
        <v>912</v>
      </c>
      <c r="U348" t="s">
        <v>1046</v>
      </c>
      <c r="V348" t="s">
        <v>1088</v>
      </c>
      <c r="W348" t="s">
        <v>792</v>
      </c>
      <c r="X348" t="s">
        <v>683</v>
      </c>
      <c r="Y348" t="s">
        <v>569</v>
      </c>
      <c r="Z348" t="s">
        <v>468</v>
      </c>
      <c r="AA348" t="s">
        <v>936</v>
      </c>
      <c r="AB348" t="s">
        <v>915</v>
      </c>
      <c r="AC348" t="s">
        <v>868</v>
      </c>
      <c r="AD348" t="s">
        <v>948</v>
      </c>
    </row>
    <row r="349" spans="1:30" x14ac:dyDescent="0.35">
      <c r="A349" t="s">
        <v>73</v>
      </c>
      <c r="B349">
        <v>2022</v>
      </c>
      <c r="C349" t="s">
        <v>197</v>
      </c>
      <c r="D349" t="s">
        <v>590</v>
      </c>
      <c r="E349" t="s">
        <v>847</v>
      </c>
      <c r="F349" t="s">
        <v>908</v>
      </c>
      <c r="G349" t="s">
        <v>908</v>
      </c>
      <c r="H349" t="s">
        <v>836</v>
      </c>
      <c r="I349" t="s">
        <v>768</v>
      </c>
      <c r="J349" t="s">
        <v>880</v>
      </c>
      <c r="K349" t="s">
        <v>910</v>
      </c>
      <c r="L349" t="s">
        <v>300</v>
      </c>
      <c r="M349" t="s">
        <v>1089</v>
      </c>
      <c r="N349" t="s">
        <v>804</v>
      </c>
      <c r="O349" t="s">
        <v>1090</v>
      </c>
      <c r="P349" t="s">
        <v>1091</v>
      </c>
      <c r="Q349" t="s">
        <v>1092</v>
      </c>
      <c r="R349" t="s">
        <v>824</v>
      </c>
      <c r="S349" t="s">
        <v>203</v>
      </c>
      <c r="T349" t="s">
        <v>1093</v>
      </c>
      <c r="U349" t="s">
        <v>1046</v>
      </c>
      <c r="V349" t="s">
        <v>576</v>
      </c>
      <c r="W349" t="s">
        <v>1046</v>
      </c>
      <c r="X349" t="s">
        <v>1091</v>
      </c>
      <c r="Y349" t="s">
        <v>829</v>
      </c>
      <c r="Z349" t="s">
        <v>799</v>
      </c>
      <c r="AA349" t="s">
        <v>1068</v>
      </c>
      <c r="AB349" t="s">
        <v>936</v>
      </c>
      <c r="AC349" t="s">
        <v>908</v>
      </c>
      <c r="AD349" t="s">
        <v>870</v>
      </c>
    </row>
    <row r="350" spans="1:30" x14ac:dyDescent="0.35">
      <c r="A350" t="s">
        <v>30</v>
      </c>
      <c r="B350">
        <v>2022</v>
      </c>
      <c r="C350" t="s">
        <v>207</v>
      </c>
      <c r="D350" t="s">
        <v>742</v>
      </c>
      <c r="E350" t="s">
        <v>1094</v>
      </c>
      <c r="F350" t="s">
        <v>529</v>
      </c>
      <c r="G350" t="s">
        <v>936</v>
      </c>
      <c r="H350" t="s">
        <v>484</v>
      </c>
      <c r="I350" t="s">
        <v>462</v>
      </c>
      <c r="J350" t="s">
        <v>859</v>
      </c>
      <c r="K350" t="s">
        <v>908</v>
      </c>
      <c r="L350" t="s">
        <v>299</v>
      </c>
      <c r="M350" t="s">
        <v>978</v>
      </c>
      <c r="N350" t="s">
        <v>975</v>
      </c>
      <c r="O350" t="s">
        <v>1095</v>
      </c>
      <c r="P350" t="s">
        <v>582</v>
      </c>
      <c r="Q350" t="s">
        <v>1096</v>
      </c>
      <c r="R350" t="s">
        <v>891</v>
      </c>
      <c r="S350" t="s">
        <v>562</v>
      </c>
      <c r="T350" t="s">
        <v>1097</v>
      </c>
      <c r="U350" t="s">
        <v>48</v>
      </c>
      <c r="V350" t="s">
        <v>1098</v>
      </c>
      <c r="W350" t="s">
        <v>1099</v>
      </c>
      <c r="X350" t="s">
        <v>1100</v>
      </c>
      <c r="Y350" t="s">
        <v>522</v>
      </c>
      <c r="Z350" t="s">
        <v>935</v>
      </c>
      <c r="AA350" t="s">
        <v>944</v>
      </c>
      <c r="AB350" t="s">
        <v>808</v>
      </c>
      <c r="AC350" t="s">
        <v>955</v>
      </c>
      <c r="AD350" t="s">
        <v>990</v>
      </c>
    </row>
    <row r="351" spans="1:30" x14ac:dyDescent="0.35">
      <c r="A351" t="s">
        <v>54</v>
      </c>
      <c r="B351">
        <v>2022</v>
      </c>
      <c r="C351" t="s">
        <v>207</v>
      </c>
      <c r="D351" t="s">
        <v>890</v>
      </c>
      <c r="E351" t="s">
        <v>1101</v>
      </c>
      <c r="F351" t="s">
        <v>945</v>
      </c>
      <c r="G351" t="s">
        <v>822</v>
      </c>
      <c r="H351" t="s">
        <v>1032</v>
      </c>
      <c r="I351" t="s">
        <v>768</v>
      </c>
      <c r="J351" t="s">
        <v>1102</v>
      </c>
      <c r="K351" t="s">
        <v>787</v>
      </c>
      <c r="L351" t="s">
        <v>322</v>
      </c>
      <c r="M351" t="s">
        <v>1000</v>
      </c>
      <c r="N351" t="s">
        <v>749</v>
      </c>
      <c r="O351" t="s">
        <v>798</v>
      </c>
      <c r="P351" t="s">
        <v>950</v>
      </c>
      <c r="Q351" t="s">
        <v>919</v>
      </c>
      <c r="R351" t="s">
        <v>981</v>
      </c>
      <c r="S351" t="s">
        <v>677</v>
      </c>
      <c r="T351" t="s">
        <v>597</v>
      </c>
      <c r="U351" t="s">
        <v>223</v>
      </c>
      <c r="V351" t="s">
        <v>815</v>
      </c>
      <c r="W351" t="s">
        <v>546</v>
      </c>
      <c r="X351" t="s">
        <v>970</v>
      </c>
      <c r="Y351" t="s">
        <v>343</v>
      </c>
      <c r="Z351" t="s">
        <v>777</v>
      </c>
      <c r="AA351" t="s">
        <v>223</v>
      </c>
      <c r="AB351" t="s">
        <v>984</v>
      </c>
      <c r="AC351" t="s">
        <v>810</v>
      </c>
      <c r="AD351" t="s">
        <v>870</v>
      </c>
    </row>
    <row r="352" spans="1:30" x14ac:dyDescent="0.35">
      <c r="A352" t="s">
        <v>73</v>
      </c>
      <c r="B352">
        <v>2022</v>
      </c>
      <c r="C352" t="s">
        <v>207</v>
      </c>
      <c r="D352" t="s">
        <v>762</v>
      </c>
      <c r="E352" t="s">
        <v>933</v>
      </c>
      <c r="F352" t="s">
        <v>936</v>
      </c>
      <c r="G352" t="s">
        <v>936</v>
      </c>
      <c r="H352" t="s">
        <v>883</v>
      </c>
      <c r="I352" t="s">
        <v>502</v>
      </c>
      <c r="J352" t="s">
        <v>1087</v>
      </c>
      <c r="K352" t="s">
        <v>755</v>
      </c>
      <c r="L352" t="s">
        <v>269</v>
      </c>
      <c r="M352" t="s">
        <v>1103</v>
      </c>
      <c r="N352" t="s">
        <v>787</v>
      </c>
      <c r="O352" t="s">
        <v>888</v>
      </c>
      <c r="P352" t="s">
        <v>1057</v>
      </c>
      <c r="Q352" t="s">
        <v>1104</v>
      </c>
      <c r="R352" t="s">
        <v>334</v>
      </c>
      <c r="S352" t="s">
        <v>870</v>
      </c>
      <c r="T352" t="s">
        <v>1105</v>
      </c>
      <c r="U352" t="s">
        <v>223</v>
      </c>
      <c r="V352" t="s">
        <v>1106</v>
      </c>
      <c r="W352" t="s">
        <v>595</v>
      </c>
      <c r="X352" t="s">
        <v>918</v>
      </c>
      <c r="Y352" t="s">
        <v>656</v>
      </c>
      <c r="Z352" t="s">
        <v>339</v>
      </c>
      <c r="AA352" t="s">
        <v>861</v>
      </c>
      <c r="AB352" t="s">
        <v>611</v>
      </c>
      <c r="AC352" t="s">
        <v>812</v>
      </c>
      <c r="AD352" t="s">
        <v>1045</v>
      </c>
    </row>
    <row r="353" spans="1:30" x14ac:dyDescent="0.35">
      <c r="A353" t="s">
        <v>30</v>
      </c>
      <c r="B353">
        <v>2022</v>
      </c>
      <c r="C353" t="s">
        <v>233</v>
      </c>
      <c r="D353" t="s">
        <v>925</v>
      </c>
      <c r="E353" t="s">
        <v>780</v>
      </c>
      <c r="F353" t="s">
        <v>886</v>
      </c>
      <c r="G353" t="s">
        <v>984</v>
      </c>
      <c r="H353" t="s">
        <v>1107</v>
      </c>
      <c r="I353" t="s">
        <v>593</v>
      </c>
      <c r="J353" t="s">
        <v>850</v>
      </c>
      <c r="K353" t="s">
        <v>602</v>
      </c>
      <c r="L353" t="s">
        <v>281</v>
      </c>
      <c r="M353" t="s">
        <v>1108</v>
      </c>
      <c r="N353" t="s">
        <v>519</v>
      </c>
      <c r="O353" t="s">
        <v>1109</v>
      </c>
      <c r="P353" t="s">
        <v>964</v>
      </c>
      <c r="Q353" t="s">
        <v>854</v>
      </c>
      <c r="R353" t="s">
        <v>469</v>
      </c>
      <c r="S353" t="s">
        <v>680</v>
      </c>
      <c r="T353" t="s">
        <v>1109</v>
      </c>
      <c r="U353" t="s">
        <v>48</v>
      </c>
      <c r="V353" t="s">
        <v>334</v>
      </c>
      <c r="W353" t="s">
        <v>981</v>
      </c>
      <c r="X353" t="s">
        <v>591</v>
      </c>
      <c r="Y353" t="s">
        <v>543</v>
      </c>
      <c r="Z353" t="s">
        <v>801</v>
      </c>
      <c r="AA353" t="s">
        <v>540</v>
      </c>
      <c r="AB353" t="s">
        <v>861</v>
      </c>
      <c r="AC353" t="s">
        <v>1040</v>
      </c>
      <c r="AD353" t="s">
        <v>1091</v>
      </c>
    </row>
    <row r="354" spans="1:30" x14ac:dyDescent="0.35">
      <c r="A354" t="s">
        <v>54</v>
      </c>
      <c r="B354">
        <v>2022</v>
      </c>
      <c r="C354" t="s">
        <v>233</v>
      </c>
      <c r="D354" t="s">
        <v>957</v>
      </c>
      <c r="E354" t="s">
        <v>1110</v>
      </c>
      <c r="F354" t="s">
        <v>1069</v>
      </c>
      <c r="G354" t="s">
        <v>984</v>
      </c>
      <c r="H354" t="s">
        <v>815</v>
      </c>
      <c r="I354" t="s">
        <v>677</v>
      </c>
      <c r="J354" t="s">
        <v>923</v>
      </c>
      <c r="K354" t="s">
        <v>822</v>
      </c>
      <c r="L354" t="s">
        <v>322</v>
      </c>
      <c r="M354" t="s">
        <v>961</v>
      </c>
      <c r="N354" t="s">
        <v>350</v>
      </c>
      <c r="O354" t="s">
        <v>772</v>
      </c>
      <c r="P354" t="s">
        <v>1026</v>
      </c>
      <c r="Q354" t="s">
        <v>839</v>
      </c>
      <c r="R354" t="s">
        <v>1045</v>
      </c>
      <c r="S354" t="s">
        <v>590</v>
      </c>
      <c r="T354" t="s">
        <v>970</v>
      </c>
      <c r="U354" t="s">
        <v>570</v>
      </c>
      <c r="V354" t="s">
        <v>1056</v>
      </c>
      <c r="W354" t="s">
        <v>925</v>
      </c>
      <c r="X354" t="s">
        <v>975</v>
      </c>
      <c r="Y354" t="s">
        <v>454</v>
      </c>
      <c r="Z354" t="s">
        <v>756</v>
      </c>
      <c r="AA354" t="s">
        <v>499</v>
      </c>
      <c r="AB354" t="s">
        <v>683</v>
      </c>
      <c r="AC354" t="s">
        <v>522</v>
      </c>
      <c r="AD354" t="s">
        <v>948</v>
      </c>
    </row>
    <row r="355" spans="1:30" x14ac:dyDescent="0.35">
      <c r="A355" t="s">
        <v>73</v>
      </c>
      <c r="B355">
        <v>2022</v>
      </c>
      <c r="C355" t="s">
        <v>233</v>
      </c>
      <c r="D355" t="s">
        <v>522</v>
      </c>
      <c r="E355" t="s">
        <v>1111</v>
      </c>
      <c r="F355" t="s">
        <v>1036</v>
      </c>
      <c r="G355" t="s">
        <v>984</v>
      </c>
      <c r="H355" t="s">
        <v>846</v>
      </c>
      <c r="I355" t="s">
        <v>668</v>
      </c>
      <c r="J355" t="s">
        <v>240</v>
      </c>
      <c r="K355" t="s">
        <v>812</v>
      </c>
      <c r="L355" t="s">
        <v>279</v>
      </c>
      <c r="M355" t="s">
        <v>1112</v>
      </c>
      <c r="N355" t="s">
        <v>595</v>
      </c>
      <c r="O355" t="s">
        <v>1034</v>
      </c>
      <c r="P355" t="s">
        <v>866</v>
      </c>
      <c r="Q355" t="s">
        <v>992</v>
      </c>
      <c r="R355" t="s">
        <v>240</v>
      </c>
      <c r="S355" t="s">
        <v>924</v>
      </c>
      <c r="T355" t="s">
        <v>940</v>
      </c>
      <c r="U355" t="s">
        <v>570</v>
      </c>
      <c r="V355" t="s">
        <v>1026</v>
      </c>
      <c r="W355" t="s">
        <v>903</v>
      </c>
      <c r="X355" t="s">
        <v>657</v>
      </c>
      <c r="Y355" t="s">
        <v>739</v>
      </c>
      <c r="Z355" t="s">
        <v>458</v>
      </c>
      <c r="AA355" t="s">
        <v>561</v>
      </c>
      <c r="AB355" t="s">
        <v>597</v>
      </c>
      <c r="AC355" t="s">
        <v>915</v>
      </c>
      <c r="AD355" t="s">
        <v>944</v>
      </c>
    </row>
    <row r="356" spans="1:30" x14ac:dyDescent="0.35">
      <c r="A356" t="s">
        <v>30</v>
      </c>
      <c r="B356">
        <v>2022</v>
      </c>
      <c r="C356" t="s">
        <v>242</v>
      </c>
      <c r="D356" t="s">
        <v>902</v>
      </c>
      <c r="E356" t="s">
        <v>1113</v>
      </c>
      <c r="F356" t="s">
        <v>765</v>
      </c>
      <c r="G356" t="s">
        <v>861</v>
      </c>
      <c r="H356" t="s">
        <v>1027</v>
      </c>
      <c r="I356" t="s">
        <v>748</v>
      </c>
      <c r="J356" t="s">
        <v>734</v>
      </c>
      <c r="K356" t="s">
        <v>812</v>
      </c>
      <c r="L356" t="s">
        <v>258</v>
      </c>
      <c r="M356" t="s">
        <v>1114</v>
      </c>
      <c r="N356" t="s">
        <v>977</v>
      </c>
      <c r="O356" t="s">
        <v>1061</v>
      </c>
      <c r="P356" t="s">
        <v>1099</v>
      </c>
      <c r="Q356" t="s">
        <v>1092</v>
      </c>
      <c r="R356" t="s">
        <v>898</v>
      </c>
      <c r="S356" t="s">
        <v>1097</v>
      </c>
      <c r="T356" t="s">
        <v>875</v>
      </c>
      <c r="U356" t="s">
        <v>48</v>
      </c>
      <c r="V356" t="s">
        <v>551</v>
      </c>
      <c r="W356" t="s">
        <v>519</v>
      </c>
      <c r="X356" t="s">
        <v>216</v>
      </c>
      <c r="Y356" t="s">
        <v>790</v>
      </c>
      <c r="Z356" t="s">
        <v>223</v>
      </c>
      <c r="AA356" t="s">
        <v>1003</v>
      </c>
      <c r="AB356" t="s">
        <v>607</v>
      </c>
      <c r="AC356" t="s">
        <v>981</v>
      </c>
      <c r="AD356" t="s">
        <v>1019</v>
      </c>
    </row>
    <row r="357" spans="1:30" x14ac:dyDescent="0.35">
      <c r="A357" t="s">
        <v>54</v>
      </c>
      <c r="B357">
        <v>2022</v>
      </c>
      <c r="C357" t="s">
        <v>242</v>
      </c>
      <c r="D357" t="s">
        <v>602</v>
      </c>
      <c r="E357" t="s">
        <v>1115</v>
      </c>
      <c r="F357" t="s">
        <v>826</v>
      </c>
      <c r="G357" t="s">
        <v>955</v>
      </c>
      <c r="H357" t="s">
        <v>1071</v>
      </c>
      <c r="I357" t="s">
        <v>628</v>
      </c>
      <c r="J357" t="s">
        <v>918</v>
      </c>
      <c r="K357" t="s">
        <v>1058</v>
      </c>
      <c r="L357" t="s">
        <v>307</v>
      </c>
      <c r="M357" t="s">
        <v>917</v>
      </c>
      <c r="N357" t="s">
        <v>514</v>
      </c>
      <c r="O357" t="s">
        <v>887</v>
      </c>
      <c r="P357" t="s">
        <v>1116</v>
      </c>
      <c r="Q357" t="s">
        <v>1117</v>
      </c>
      <c r="R357" t="s">
        <v>1032</v>
      </c>
      <c r="S357" t="s">
        <v>757</v>
      </c>
      <c r="T357" t="s">
        <v>607</v>
      </c>
      <c r="U357" t="s">
        <v>511</v>
      </c>
      <c r="V357" t="s">
        <v>1118</v>
      </c>
      <c r="W357" t="s">
        <v>797</v>
      </c>
      <c r="X357" t="s">
        <v>1031</v>
      </c>
      <c r="Y357" t="s">
        <v>873</v>
      </c>
      <c r="Z357" t="s">
        <v>782</v>
      </c>
      <c r="AA357" t="s">
        <v>570</v>
      </c>
      <c r="AB357" t="s">
        <v>1011</v>
      </c>
      <c r="AC357" t="s">
        <v>339</v>
      </c>
      <c r="AD357" t="s">
        <v>948</v>
      </c>
    </row>
    <row r="358" spans="1:30" x14ac:dyDescent="0.35">
      <c r="A358" t="s">
        <v>73</v>
      </c>
      <c r="B358">
        <v>2022</v>
      </c>
      <c r="C358" t="s">
        <v>242</v>
      </c>
      <c r="D358" t="s">
        <v>557</v>
      </c>
      <c r="E358" t="s">
        <v>1119</v>
      </c>
      <c r="F358" t="s">
        <v>869</v>
      </c>
      <c r="G358" t="s">
        <v>597</v>
      </c>
      <c r="H358" t="s">
        <v>860</v>
      </c>
      <c r="I358" t="s">
        <v>794</v>
      </c>
      <c r="J358" t="s">
        <v>827</v>
      </c>
      <c r="K358" t="s">
        <v>801</v>
      </c>
      <c r="L358" t="s">
        <v>326</v>
      </c>
      <c r="M358" t="s">
        <v>1006</v>
      </c>
      <c r="N358" t="s">
        <v>822</v>
      </c>
      <c r="O358" t="s">
        <v>816</v>
      </c>
      <c r="P358" t="s">
        <v>966</v>
      </c>
      <c r="Q358" t="s">
        <v>1089</v>
      </c>
      <c r="R358" t="s">
        <v>884</v>
      </c>
      <c r="S358" t="s">
        <v>189</v>
      </c>
      <c r="T358" t="s">
        <v>1070</v>
      </c>
      <c r="U358" t="s">
        <v>511</v>
      </c>
      <c r="V358" t="s">
        <v>1055</v>
      </c>
      <c r="W358" t="s">
        <v>611</v>
      </c>
      <c r="X358" t="s">
        <v>1120</v>
      </c>
      <c r="Y358" t="s">
        <v>745</v>
      </c>
      <c r="Z358" t="s">
        <v>906</v>
      </c>
      <c r="AA358" t="s">
        <v>948</v>
      </c>
      <c r="AB358" t="s">
        <v>975</v>
      </c>
      <c r="AC358" t="s">
        <v>808</v>
      </c>
      <c r="AD358" t="s">
        <v>607</v>
      </c>
    </row>
    <row r="359" spans="1:30" x14ac:dyDescent="0.35">
      <c r="A359" t="s">
        <v>30</v>
      </c>
      <c r="B359">
        <v>2023</v>
      </c>
      <c r="C359" t="s">
        <v>31</v>
      </c>
      <c r="D359" t="s">
        <v>985</v>
      </c>
      <c r="E359" t="s">
        <v>1121</v>
      </c>
      <c r="F359" t="s">
        <v>982</v>
      </c>
      <c r="G359" t="s">
        <v>203</v>
      </c>
      <c r="H359" t="s">
        <v>994</v>
      </c>
      <c r="I359" t="s">
        <v>702</v>
      </c>
      <c r="J359" t="s">
        <v>579</v>
      </c>
      <c r="K359" t="s">
        <v>511</v>
      </c>
      <c r="L359" t="s">
        <v>293</v>
      </c>
      <c r="M359" t="s">
        <v>1122</v>
      </c>
      <c r="N359" t="s">
        <v>540</v>
      </c>
      <c r="O359" t="s">
        <v>860</v>
      </c>
      <c r="P359" t="s">
        <v>949</v>
      </c>
      <c r="Q359" t="s">
        <v>992</v>
      </c>
      <c r="R359" t="s">
        <v>1123</v>
      </c>
      <c r="S359" t="s">
        <v>838</v>
      </c>
      <c r="T359" t="s">
        <v>849</v>
      </c>
      <c r="U359" t="s">
        <v>48</v>
      </c>
      <c r="V359" t="s">
        <v>1069</v>
      </c>
      <c r="W359" t="s">
        <v>1031</v>
      </c>
      <c r="X359" t="s">
        <v>1002</v>
      </c>
      <c r="Y359" t="s">
        <v>339</v>
      </c>
      <c r="Z359" t="s">
        <v>570</v>
      </c>
      <c r="AA359" t="s">
        <v>1091</v>
      </c>
      <c r="AB359" t="s">
        <v>878</v>
      </c>
      <c r="AC359" t="s">
        <v>944</v>
      </c>
      <c r="AD359" t="s">
        <v>1091</v>
      </c>
    </row>
    <row r="360" spans="1:30" x14ac:dyDescent="0.35">
      <c r="A360" t="s">
        <v>54</v>
      </c>
      <c r="B360">
        <v>2023</v>
      </c>
      <c r="C360" t="s">
        <v>31</v>
      </c>
      <c r="D360" t="s">
        <v>814</v>
      </c>
      <c r="E360" t="s">
        <v>1124</v>
      </c>
      <c r="F360" t="s">
        <v>802</v>
      </c>
      <c r="G360" t="s">
        <v>899</v>
      </c>
      <c r="H360" t="s">
        <v>993</v>
      </c>
      <c r="I360" t="s">
        <v>922</v>
      </c>
      <c r="J360" t="s">
        <v>870</v>
      </c>
      <c r="K360" t="s">
        <v>223</v>
      </c>
      <c r="L360" t="s">
        <v>296</v>
      </c>
      <c r="M360" t="s">
        <v>911</v>
      </c>
      <c r="N360" t="s">
        <v>784</v>
      </c>
      <c r="O360" t="s">
        <v>1052</v>
      </c>
      <c r="P360" t="s">
        <v>576</v>
      </c>
      <c r="Q360" t="s">
        <v>978</v>
      </c>
      <c r="R360" t="s">
        <v>918</v>
      </c>
      <c r="S360" t="s">
        <v>475</v>
      </c>
      <c r="T360" t="s">
        <v>964</v>
      </c>
      <c r="U360" t="s">
        <v>611</v>
      </c>
      <c r="V360" t="s">
        <v>759</v>
      </c>
      <c r="W360" t="s">
        <v>679</v>
      </c>
      <c r="X360" t="s">
        <v>1078</v>
      </c>
      <c r="Y360" t="s">
        <v>628</v>
      </c>
      <c r="Z360" t="s">
        <v>790</v>
      </c>
      <c r="AA360" t="s">
        <v>570</v>
      </c>
      <c r="AB360" t="s">
        <v>775</v>
      </c>
      <c r="AC360" t="s">
        <v>906</v>
      </c>
      <c r="AD360" t="s">
        <v>617</v>
      </c>
    </row>
    <row r="361" spans="1:30" x14ac:dyDescent="0.35">
      <c r="A361" t="s">
        <v>73</v>
      </c>
      <c r="B361">
        <v>2023</v>
      </c>
      <c r="C361" t="s">
        <v>31</v>
      </c>
      <c r="D361" t="s">
        <v>683</v>
      </c>
      <c r="E361" t="s">
        <v>1014</v>
      </c>
      <c r="F361" t="s">
        <v>1081</v>
      </c>
      <c r="G361" t="s">
        <v>1040</v>
      </c>
      <c r="H361" t="s">
        <v>469</v>
      </c>
      <c r="I361" t="s">
        <v>719</v>
      </c>
      <c r="J361" t="s">
        <v>747</v>
      </c>
      <c r="K361" t="s">
        <v>936</v>
      </c>
      <c r="L361" t="s">
        <v>299</v>
      </c>
      <c r="M361" t="s">
        <v>963</v>
      </c>
      <c r="N361" t="s">
        <v>903</v>
      </c>
      <c r="O361" t="s">
        <v>885</v>
      </c>
      <c r="P361" t="s">
        <v>1045</v>
      </c>
      <c r="Q361" t="s">
        <v>916</v>
      </c>
      <c r="R361" t="s">
        <v>1007</v>
      </c>
      <c r="S361" t="s">
        <v>1125</v>
      </c>
      <c r="T361" t="s">
        <v>1126</v>
      </c>
      <c r="U361" t="s">
        <v>611</v>
      </c>
      <c r="V361" t="s">
        <v>1055</v>
      </c>
      <c r="W361" t="s">
        <v>1075</v>
      </c>
      <c r="X361" t="s">
        <v>591</v>
      </c>
      <c r="Y361" t="s">
        <v>863</v>
      </c>
      <c r="Z361" t="s">
        <v>1046</v>
      </c>
      <c r="AA361" t="s">
        <v>203</v>
      </c>
      <c r="AB361" t="s">
        <v>1116</v>
      </c>
      <c r="AC361" t="s">
        <v>953</v>
      </c>
      <c r="AD361" t="s">
        <v>944</v>
      </c>
    </row>
    <row r="362" spans="1:30" x14ac:dyDescent="0.35">
      <c r="A362" t="s">
        <v>30</v>
      </c>
      <c r="B362">
        <v>2023</v>
      </c>
      <c r="C362" t="s">
        <v>85</v>
      </c>
      <c r="D362" t="s">
        <v>1044</v>
      </c>
      <c r="E362" t="s">
        <v>1006</v>
      </c>
      <c r="F362" t="s">
        <v>955</v>
      </c>
      <c r="G362" t="s">
        <v>189</v>
      </c>
      <c r="H362" t="s">
        <v>853</v>
      </c>
      <c r="I362" t="s">
        <v>761</v>
      </c>
      <c r="J362" t="s">
        <v>604</v>
      </c>
      <c r="K362" t="s">
        <v>595</v>
      </c>
      <c r="L362" t="s">
        <v>201</v>
      </c>
      <c r="M362" t="s">
        <v>1127</v>
      </c>
      <c r="N362" t="s">
        <v>1125</v>
      </c>
      <c r="O362" t="s">
        <v>1128</v>
      </c>
      <c r="P362" t="s">
        <v>1041</v>
      </c>
      <c r="Q362" t="s">
        <v>1049</v>
      </c>
      <c r="R362" t="s">
        <v>1065</v>
      </c>
      <c r="S362" t="s">
        <v>1129</v>
      </c>
      <c r="T362" t="s">
        <v>909</v>
      </c>
      <c r="U362" t="s">
        <v>48</v>
      </c>
      <c r="V362" t="s">
        <v>1130</v>
      </c>
      <c r="W362" t="s">
        <v>1116</v>
      </c>
      <c r="X362" t="s">
        <v>1030</v>
      </c>
      <c r="Y362" t="s">
        <v>962</v>
      </c>
      <c r="Z362" t="s">
        <v>953</v>
      </c>
      <c r="AA362" t="s">
        <v>1078</v>
      </c>
      <c r="AB362" t="s">
        <v>927</v>
      </c>
      <c r="AC362" t="s">
        <v>990</v>
      </c>
      <c r="AD362" t="s">
        <v>993</v>
      </c>
    </row>
    <row r="363" spans="1:30" x14ac:dyDescent="0.35">
      <c r="A363" t="s">
        <v>54</v>
      </c>
      <c r="B363">
        <v>2023</v>
      </c>
      <c r="C363" t="s">
        <v>85</v>
      </c>
      <c r="D363" t="s">
        <v>970</v>
      </c>
      <c r="E363" t="s">
        <v>1131</v>
      </c>
      <c r="F363" t="s">
        <v>1031</v>
      </c>
      <c r="G363" t="s">
        <v>990</v>
      </c>
      <c r="H363" t="s">
        <v>587</v>
      </c>
      <c r="I363" t="s">
        <v>611</v>
      </c>
      <c r="J363" t="s">
        <v>975</v>
      </c>
      <c r="K363" t="s">
        <v>587</v>
      </c>
      <c r="L363" t="s">
        <v>269</v>
      </c>
      <c r="M363" t="s">
        <v>1108</v>
      </c>
      <c r="N363" t="s">
        <v>209</v>
      </c>
      <c r="O363" t="s">
        <v>1132</v>
      </c>
      <c r="P363" t="s">
        <v>927</v>
      </c>
      <c r="Q363" t="s">
        <v>1133</v>
      </c>
      <c r="R363" t="s">
        <v>1056</v>
      </c>
      <c r="S363" t="s">
        <v>813</v>
      </c>
      <c r="T363" t="s">
        <v>988</v>
      </c>
      <c r="U363" t="s">
        <v>938</v>
      </c>
      <c r="V363" t="s">
        <v>551</v>
      </c>
      <c r="W363" t="s">
        <v>557</v>
      </c>
      <c r="X363" t="s">
        <v>1098</v>
      </c>
      <c r="Y363" t="s">
        <v>779</v>
      </c>
      <c r="Z363" t="s">
        <v>957</v>
      </c>
      <c r="AA363" t="s">
        <v>913</v>
      </c>
      <c r="AB363" t="s">
        <v>1036</v>
      </c>
      <c r="AC363" t="s">
        <v>614</v>
      </c>
      <c r="AD363" t="s">
        <v>1005</v>
      </c>
    </row>
    <row r="364" spans="1:30" x14ac:dyDescent="0.35">
      <c r="A364" t="s">
        <v>73</v>
      </c>
      <c r="B364">
        <v>2023</v>
      </c>
      <c r="C364" t="s">
        <v>85</v>
      </c>
      <c r="D364" t="s">
        <v>1099</v>
      </c>
      <c r="E364" t="s">
        <v>1134</v>
      </c>
      <c r="F364" t="s">
        <v>899</v>
      </c>
      <c r="G364" t="s">
        <v>1003</v>
      </c>
      <c r="H364" t="s">
        <v>920</v>
      </c>
      <c r="I364" t="s">
        <v>1046</v>
      </c>
      <c r="J364" t="s">
        <v>764</v>
      </c>
      <c r="K364" t="s">
        <v>822</v>
      </c>
      <c r="L364" t="s">
        <v>298</v>
      </c>
      <c r="M364" t="s">
        <v>1016</v>
      </c>
      <c r="N364" t="s">
        <v>984</v>
      </c>
      <c r="O364" t="s">
        <v>1135</v>
      </c>
      <c r="P364" t="s">
        <v>189</v>
      </c>
      <c r="Q364" t="s">
        <v>1024</v>
      </c>
      <c r="R364" t="s">
        <v>1136</v>
      </c>
      <c r="S364" t="s">
        <v>918</v>
      </c>
      <c r="T364" t="s">
        <v>1137</v>
      </c>
      <c r="U364" t="s">
        <v>938</v>
      </c>
      <c r="V364" t="s">
        <v>940</v>
      </c>
      <c r="W364" t="s">
        <v>1044</v>
      </c>
      <c r="X364" t="s">
        <v>562</v>
      </c>
      <c r="Y364" t="s">
        <v>753</v>
      </c>
      <c r="Z364" t="s">
        <v>529</v>
      </c>
      <c r="AA364" t="s">
        <v>949</v>
      </c>
      <c r="AB364" t="s">
        <v>1105</v>
      </c>
      <c r="AC364" t="s">
        <v>948</v>
      </c>
      <c r="AD364" t="s">
        <v>1031</v>
      </c>
    </row>
    <row r="365" spans="1:30" x14ac:dyDescent="0.35">
      <c r="A365" t="s">
        <v>30</v>
      </c>
      <c r="B365">
        <v>2023</v>
      </c>
      <c r="C365" t="s">
        <v>107</v>
      </c>
      <c r="D365" t="s">
        <v>203</v>
      </c>
      <c r="E365" t="s">
        <v>1006</v>
      </c>
      <c r="F365" t="s">
        <v>955</v>
      </c>
      <c r="G365" t="s">
        <v>189</v>
      </c>
      <c r="H365" t="s">
        <v>950</v>
      </c>
      <c r="I365" t="s">
        <v>761</v>
      </c>
      <c r="J365" t="s">
        <v>604</v>
      </c>
      <c r="K365" t="s">
        <v>812</v>
      </c>
      <c r="L365" t="s">
        <v>201</v>
      </c>
      <c r="M365" t="s">
        <v>1127</v>
      </c>
      <c r="N365" t="s">
        <v>1125</v>
      </c>
      <c r="O365" t="s">
        <v>1128</v>
      </c>
      <c r="P365" t="s">
        <v>1041</v>
      </c>
      <c r="Q365" t="s">
        <v>972</v>
      </c>
      <c r="R365" t="s">
        <v>1065</v>
      </c>
      <c r="S365" t="s">
        <v>1129</v>
      </c>
      <c r="T365" t="s">
        <v>909</v>
      </c>
      <c r="U365" t="s">
        <v>48</v>
      </c>
      <c r="V365" t="s">
        <v>1036</v>
      </c>
      <c r="W365" t="s">
        <v>1116</v>
      </c>
      <c r="X365" t="s">
        <v>1030</v>
      </c>
      <c r="Y365" t="s">
        <v>962</v>
      </c>
      <c r="Z365" t="s">
        <v>953</v>
      </c>
      <c r="AA365" t="s">
        <v>1078</v>
      </c>
      <c r="AB365" t="s">
        <v>927</v>
      </c>
      <c r="AC365" t="s">
        <v>990</v>
      </c>
      <c r="AD365" t="s">
        <v>993</v>
      </c>
    </row>
    <row r="366" spans="1:30" x14ac:dyDescent="0.35">
      <c r="A366" t="s">
        <v>54</v>
      </c>
      <c r="B366">
        <v>2023</v>
      </c>
      <c r="C366" t="s">
        <v>107</v>
      </c>
      <c r="D366" t="s">
        <v>970</v>
      </c>
      <c r="E366" t="s">
        <v>1131</v>
      </c>
      <c r="F366" t="s">
        <v>1031</v>
      </c>
      <c r="G366" t="s">
        <v>990</v>
      </c>
      <c r="H366" t="s">
        <v>587</v>
      </c>
      <c r="I366" t="s">
        <v>611</v>
      </c>
      <c r="J366" t="s">
        <v>966</v>
      </c>
      <c r="K366" t="s">
        <v>587</v>
      </c>
      <c r="L366" t="s">
        <v>269</v>
      </c>
      <c r="M366" t="s">
        <v>1108</v>
      </c>
      <c r="N366" t="s">
        <v>209</v>
      </c>
      <c r="O366" t="s">
        <v>1132</v>
      </c>
      <c r="P366" t="s">
        <v>1098</v>
      </c>
      <c r="Q366" t="s">
        <v>1133</v>
      </c>
      <c r="R366" t="s">
        <v>886</v>
      </c>
      <c r="S366" t="s">
        <v>813</v>
      </c>
      <c r="T366" t="s">
        <v>988</v>
      </c>
      <c r="U366" t="s">
        <v>938</v>
      </c>
      <c r="V366" t="s">
        <v>830</v>
      </c>
      <c r="W366" t="s">
        <v>557</v>
      </c>
      <c r="X366" t="s">
        <v>1098</v>
      </c>
      <c r="Y366" t="s">
        <v>779</v>
      </c>
      <c r="Z366" t="s">
        <v>957</v>
      </c>
      <c r="AA366" t="s">
        <v>913</v>
      </c>
      <c r="AB366" t="s">
        <v>1013</v>
      </c>
      <c r="AC366" t="s">
        <v>614</v>
      </c>
      <c r="AD366" t="s">
        <v>1005</v>
      </c>
    </row>
    <row r="367" spans="1:30" x14ac:dyDescent="0.35">
      <c r="A367" t="s">
        <v>73</v>
      </c>
      <c r="B367">
        <v>2023</v>
      </c>
      <c r="C367" t="s">
        <v>107</v>
      </c>
      <c r="D367" t="s">
        <v>1099</v>
      </c>
      <c r="E367" t="s">
        <v>1134</v>
      </c>
      <c r="F367" t="s">
        <v>899</v>
      </c>
      <c r="G367" t="s">
        <v>1003</v>
      </c>
      <c r="H367" t="s">
        <v>1088</v>
      </c>
      <c r="I367" t="s">
        <v>1046</v>
      </c>
      <c r="J367" t="s">
        <v>699</v>
      </c>
      <c r="K367" t="s">
        <v>915</v>
      </c>
      <c r="L367" t="s">
        <v>298</v>
      </c>
      <c r="M367" t="s">
        <v>1016</v>
      </c>
      <c r="N367" t="s">
        <v>984</v>
      </c>
      <c r="O367" t="s">
        <v>1135</v>
      </c>
      <c r="P367" t="s">
        <v>189</v>
      </c>
      <c r="Q367" t="s">
        <v>1024</v>
      </c>
      <c r="R367" t="s">
        <v>891</v>
      </c>
      <c r="S367" t="s">
        <v>918</v>
      </c>
      <c r="T367" t="s">
        <v>1137</v>
      </c>
      <c r="U367" t="s">
        <v>938</v>
      </c>
      <c r="V367" t="s">
        <v>334</v>
      </c>
      <c r="W367" t="s">
        <v>1044</v>
      </c>
      <c r="X367" t="s">
        <v>562</v>
      </c>
      <c r="Y367" t="s">
        <v>753</v>
      </c>
      <c r="Z367" t="s">
        <v>529</v>
      </c>
      <c r="AA367" t="s">
        <v>949</v>
      </c>
      <c r="AB367" t="s">
        <v>1105</v>
      </c>
      <c r="AC367" t="s">
        <v>948</v>
      </c>
      <c r="AD367" t="s">
        <v>1031</v>
      </c>
    </row>
    <row r="368" spans="1:30" x14ac:dyDescent="0.35">
      <c r="A368" t="s">
        <v>30</v>
      </c>
      <c r="B368">
        <v>2023</v>
      </c>
      <c r="C368" t="s">
        <v>123</v>
      </c>
      <c r="D368" t="s">
        <v>814</v>
      </c>
      <c r="E368" t="s">
        <v>1113</v>
      </c>
      <c r="F368" t="s">
        <v>620</v>
      </c>
      <c r="G368" t="s">
        <v>988</v>
      </c>
      <c r="H368" t="s">
        <v>1078</v>
      </c>
      <c r="I368" t="s">
        <v>561</v>
      </c>
      <c r="J368" t="s">
        <v>563</v>
      </c>
      <c r="K368" t="s">
        <v>953</v>
      </c>
      <c r="L368" t="s">
        <v>187</v>
      </c>
      <c r="M368" t="s">
        <v>1138</v>
      </c>
      <c r="N368" t="s">
        <v>988</v>
      </c>
      <c r="O368" t="s">
        <v>959</v>
      </c>
      <c r="P368" t="s">
        <v>981</v>
      </c>
      <c r="Q368" t="s">
        <v>1024</v>
      </c>
      <c r="R368" t="s">
        <v>995</v>
      </c>
      <c r="S368" t="s">
        <v>1139</v>
      </c>
      <c r="T368" t="s">
        <v>869</v>
      </c>
      <c r="U368" t="s">
        <v>892</v>
      </c>
      <c r="V368" t="s">
        <v>1013</v>
      </c>
      <c r="W368" t="s">
        <v>1071</v>
      </c>
      <c r="X368" t="s">
        <v>469</v>
      </c>
      <c r="Y368" t="s">
        <v>804</v>
      </c>
      <c r="Z368" t="s">
        <v>675</v>
      </c>
      <c r="AA368" t="s">
        <v>1062</v>
      </c>
      <c r="AB368" t="s">
        <v>1126</v>
      </c>
      <c r="AC368" t="s">
        <v>1017</v>
      </c>
      <c r="AD368" t="s">
        <v>775</v>
      </c>
    </row>
    <row r="369" spans="1:30" x14ac:dyDescent="0.35">
      <c r="A369" t="s">
        <v>54</v>
      </c>
      <c r="B369">
        <v>2023</v>
      </c>
      <c r="C369" t="s">
        <v>123</v>
      </c>
      <c r="D369" t="s">
        <v>1041</v>
      </c>
      <c r="E369" t="s">
        <v>1084</v>
      </c>
      <c r="F369" t="s">
        <v>321</v>
      </c>
      <c r="G369" t="s">
        <v>775</v>
      </c>
      <c r="H369" t="s">
        <v>622</v>
      </c>
      <c r="I369" t="s">
        <v>1088</v>
      </c>
      <c r="J369" t="s">
        <v>1093</v>
      </c>
      <c r="K369" t="s">
        <v>970</v>
      </c>
      <c r="L369" t="s">
        <v>307</v>
      </c>
      <c r="M369" t="s">
        <v>800</v>
      </c>
      <c r="N369" t="s">
        <v>447</v>
      </c>
      <c r="O369" t="s">
        <v>802</v>
      </c>
      <c r="P369" t="s">
        <v>940</v>
      </c>
      <c r="Q369" t="s">
        <v>1140</v>
      </c>
      <c r="R369" t="s">
        <v>1105</v>
      </c>
      <c r="S369" t="s">
        <v>960</v>
      </c>
      <c r="T369" t="s">
        <v>1017</v>
      </c>
      <c r="U369" t="s">
        <v>899</v>
      </c>
      <c r="V369" t="s">
        <v>940</v>
      </c>
      <c r="W369" t="s">
        <v>980</v>
      </c>
      <c r="X369" t="s">
        <v>1013</v>
      </c>
      <c r="Y369" t="s">
        <v>942</v>
      </c>
      <c r="Z369" t="s">
        <v>902</v>
      </c>
      <c r="AA369" t="s">
        <v>1044</v>
      </c>
      <c r="AB369" t="s">
        <v>562</v>
      </c>
      <c r="AC369" t="s">
        <v>936</v>
      </c>
      <c r="AD369" t="s">
        <v>582</v>
      </c>
    </row>
    <row r="370" spans="1:30" x14ac:dyDescent="0.35">
      <c r="A370" t="s">
        <v>73</v>
      </c>
      <c r="B370">
        <v>2023</v>
      </c>
      <c r="C370" t="s">
        <v>123</v>
      </c>
      <c r="D370" t="s">
        <v>683</v>
      </c>
      <c r="E370" t="s">
        <v>1141</v>
      </c>
      <c r="F370" t="s">
        <v>980</v>
      </c>
      <c r="G370" t="s">
        <v>878</v>
      </c>
      <c r="H370" t="s">
        <v>617</v>
      </c>
      <c r="I370" t="s">
        <v>1005</v>
      </c>
      <c r="J370" t="s">
        <v>783</v>
      </c>
      <c r="K370" t="s">
        <v>861</v>
      </c>
      <c r="L370" t="s">
        <v>344</v>
      </c>
      <c r="M370" t="s">
        <v>1115</v>
      </c>
      <c r="N370" t="s">
        <v>1075</v>
      </c>
      <c r="O370" t="s">
        <v>895</v>
      </c>
      <c r="P370" t="s">
        <v>990</v>
      </c>
      <c r="Q370" t="s">
        <v>839</v>
      </c>
      <c r="R370" t="s">
        <v>1109</v>
      </c>
      <c r="S370" t="s">
        <v>1088</v>
      </c>
      <c r="T370" t="s">
        <v>1142</v>
      </c>
      <c r="U370" t="s">
        <v>899</v>
      </c>
      <c r="V370" t="s">
        <v>806</v>
      </c>
      <c r="W370" t="s">
        <v>1040</v>
      </c>
      <c r="X370" t="s">
        <v>934</v>
      </c>
      <c r="Y370" t="s">
        <v>757</v>
      </c>
      <c r="Z370" t="s">
        <v>511</v>
      </c>
      <c r="AA370" t="s">
        <v>519</v>
      </c>
      <c r="AB370" t="s">
        <v>884</v>
      </c>
      <c r="AC370" t="s">
        <v>949</v>
      </c>
      <c r="AD370" t="s">
        <v>228</v>
      </c>
    </row>
    <row r="371" spans="1:30" x14ac:dyDescent="0.35">
      <c r="A371" t="s">
        <v>30</v>
      </c>
      <c r="B371">
        <v>2023</v>
      </c>
      <c r="C371" t="s">
        <v>136</v>
      </c>
      <c r="D371" t="s">
        <v>675</v>
      </c>
      <c r="E371" t="s">
        <v>1048</v>
      </c>
      <c r="F371" t="s">
        <v>822</v>
      </c>
      <c r="G371" t="s">
        <v>1057</v>
      </c>
      <c r="H371" t="s">
        <v>814</v>
      </c>
      <c r="I371" t="s">
        <v>962</v>
      </c>
      <c r="J371" t="s">
        <v>646</v>
      </c>
      <c r="K371" t="s">
        <v>617</v>
      </c>
      <c r="L371" t="s">
        <v>269</v>
      </c>
      <c r="M371" t="s">
        <v>1143</v>
      </c>
      <c r="N371" t="s">
        <v>918</v>
      </c>
      <c r="O371" t="s">
        <v>1144</v>
      </c>
      <c r="P371" t="s">
        <v>977</v>
      </c>
      <c r="Q371" t="s">
        <v>1103</v>
      </c>
      <c r="R371" t="s">
        <v>885</v>
      </c>
      <c r="S371" t="s">
        <v>1145</v>
      </c>
      <c r="T371" t="s">
        <v>929</v>
      </c>
      <c r="U371" t="s">
        <v>892</v>
      </c>
      <c r="V371" t="s">
        <v>1038</v>
      </c>
      <c r="W371" t="s">
        <v>657</v>
      </c>
      <c r="X371" t="s">
        <v>875</v>
      </c>
      <c r="Y371" t="s">
        <v>908</v>
      </c>
      <c r="Z371" t="s">
        <v>683</v>
      </c>
      <c r="AA371" t="s">
        <v>1056</v>
      </c>
      <c r="AB371" t="s">
        <v>1007</v>
      </c>
      <c r="AC371" t="s">
        <v>576</v>
      </c>
      <c r="AD371" t="s">
        <v>657</v>
      </c>
    </row>
    <row r="372" spans="1:30" x14ac:dyDescent="0.35">
      <c r="A372" t="s">
        <v>54</v>
      </c>
      <c r="B372">
        <v>2023</v>
      </c>
      <c r="C372" t="s">
        <v>136</v>
      </c>
      <c r="D372" t="s">
        <v>970</v>
      </c>
      <c r="E372" t="s">
        <v>1050</v>
      </c>
      <c r="F372" t="s">
        <v>1045</v>
      </c>
      <c r="G372" t="s">
        <v>1062</v>
      </c>
      <c r="H372" t="s">
        <v>736</v>
      </c>
      <c r="I372" t="s">
        <v>975</v>
      </c>
      <c r="J372" t="s">
        <v>934</v>
      </c>
      <c r="K372" t="s">
        <v>540</v>
      </c>
      <c r="L372" t="s">
        <v>345</v>
      </c>
      <c r="M372" t="s">
        <v>1146</v>
      </c>
      <c r="N372" t="s">
        <v>914</v>
      </c>
      <c r="O372" t="s">
        <v>1147</v>
      </c>
      <c r="P372" t="s">
        <v>240</v>
      </c>
      <c r="Q372" t="s">
        <v>1148</v>
      </c>
      <c r="R372" t="s">
        <v>1026</v>
      </c>
      <c r="S372" t="s">
        <v>1074</v>
      </c>
      <c r="T372" t="s">
        <v>920</v>
      </c>
      <c r="U372" t="s">
        <v>594</v>
      </c>
      <c r="V372" t="s">
        <v>853</v>
      </c>
      <c r="W372" t="s">
        <v>809</v>
      </c>
      <c r="X372" t="s">
        <v>939</v>
      </c>
      <c r="Y372" t="s">
        <v>474</v>
      </c>
      <c r="Z372" t="s">
        <v>557</v>
      </c>
      <c r="AA372" t="s">
        <v>1041</v>
      </c>
      <c r="AB372" t="s">
        <v>1095</v>
      </c>
      <c r="AC372" t="s">
        <v>850</v>
      </c>
      <c r="AD372" t="s">
        <v>988</v>
      </c>
    </row>
    <row r="373" spans="1:30" x14ac:dyDescent="0.35">
      <c r="A373" t="s">
        <v>73</v>
      </c>
      <c r="B373">
        <v>2023</v>
      </c>
      <c r="C373" t="s">
        <v>136</v>
      </c>
      <c r="D373" t="s">
        <v>561</v>
      </c>
      <c r="E373" t="s">
        <v>1149</v>
      </c>
      <c r="F373" t="s">
        <v>675</v>
      </c>
      <c r="G373" t="s">
        <v>576</v>
      </c>
      <c r="H373" t="s">
        <v>614</v>
      </c>
      <c r="I373" t="s">
        <v>587</v>
      </c>
      <c r="J373" t="s">
        <v>685</v>
      </c>
      <c r="K373" t="s">
        <v>594</v>
      </c>
      <c r="L373" t="s">
        <v>296</v>
      </c>
      <c r="M373" t="s">
        <v>1150</v>
      </c>
      <c r="N373" t="s">
        <v>861</v>
      </c>
      <c r="O373" t="s">
        <v>881</v>
      </c>
      <c r="P373" t="s">
        <v>1071</v>
      </c>
      <c r="Q373" t="s">
        <v>1151</v>
      </c>
      <c r="R373" t="s">
        <v>1139</v>
      </c>
      <c r="S373" t="s">
        <v>1083</v>
      </c>
      <c r="T373" t="s">
        <v>1136</v>
      </c>
      <c r="U373" t="s">
        <v>594</v>
      </c>
      <c r="V373" t="s">
        <v>551</v>
      </c>
      <c r="W373" t="s">
        <v>899</v>
      </c>
      <c r="X373" t="s">
        <v>1142</v>
      </c>
      <c r="Y373" t="s">
        <v>843</v>
      </c>
      <c r="Z373" t="s">
        <v>223</v>
      </c>
      <c r="AA373" t="s">
        <v>1019</v>
      </c>
      <c r="AB373" t="s">
        <v>680</v>
      </c>
      <c r="AC373" t="s">
        <v>607</v>
      </c>
      <c r="AD373" t="s">
        <v>1071</v>
      </c>
    </row>
  </sheetData>
  <sheetProtection algorithmName="SHA-512" hashValue="b9RDnjWWhO3ovAE4qmSznN4eltvNUlp/PxZOIpGEkwniWmX1gDiqFux/W3LtgQA2043UAR/+FnvdErxkxo3Cpw==" saltValue="xe3oUzQoBdUtIruu8X4DvQ==" spinCount="100000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21D6-66F8-4301-99A1-ED14B5A32E79}">
  <dimension ref="A1:AL373"/>
  <sheetViews>
    <sheetView workbookViewId="0">
      <selection activeCell="AE37" sqref="AE37"/>
    </sheetView>
  </sheetViews>
  <sheetFormatPr defaultRowHeight="14.5" x14ac:dyDescent="0.35"/>
  <cols>
    <col min="1" max="1" width="11.36328125" bestFit="1" customWidth="1"/>
    <col min="2" max="2" width="6.81640625" bestFit="1" customWidth="1"/>
    <col min="3" max="3" width="11.7265625" bestFit="1" customWidth="1"/>
    <col min="4" max="4" width="20.90625" hidden="1" customWidth="1"/>
    <col min="5" max="5" width="14.6328125" hidden="1" customWidth="1"/>
    <col min="6" max="6" width="5.90625" hidden="1" customWidth="1"/>
    <col min="7" max="7" width="18.36328125" hidden="1" customWidth="1"/>
    <col min="8" max="8" width="13.453125" hidden="1" customWidth="1"/>
    <col min="9" max="9" width="7.81640625" hidden="1" customWidth="1"/>
    <col min="10" max="10" width="12.26953125" hidden="1" customWidth="1"/>
    <col min="11" max="11" width="20.08984375" hidden="1" customWidth="1"/>
    <col min="12" max="12" width="23.81640625" hidden="1" customWidth="1"/>
    <col min="13" max="13" width="8.26953125" hidden="1" customWidth="1"/>
    <col min="14" max="14" width="23.6328125" hidden="1" customWidth="1"/>
    <col min="15" max="15" width="33.54296875" hidden="1" customWidth="1"/>
    <col min="16" max="16" width="20" hidden="1" customWidth="1"/>
    <col min="17" max="17" width="27.54296875" hidden="1" customWidth="1"/>
    <col min="18" max="18" width="10" hidden="1" customWidth="1"/>
    <col min="19" max="19" width="11.08984375" hidden="1" customWidth="1"/>
    <col min="20" max="20" width="22" hidden="1" customWidth="1"/>
    <col min="21" max="21" width="15" hidden="1" customWidth="1"/>
    <col min="22" max="22" width="14.26953125" hidden="1" customWidth="1"/>
    <col min="23" max="23" width="28.54296875" hidden="1" customWidth="1"/>
    <col min="24" max="24" width="8.6328125" hidden="1" customWidth="1"/>
    <col min="25" max="25" width="28.81640625" hidden="1" customWidth="1"/>
    <col min="26" max="26" width="26.453125" hidden="1" customWidth="1"/>
    <col min="27" max="27" width="11.453125" hidden="1" customWidth="1"/>
    <col min="28" max="28" width="24.36328125" hidden="1" customWidth="1"/>
    <col min="29" max="29" width="14.90625" hidden="1" customWidth="1"/>
    <col min="30" max="30" width="14.6328125" bestFit="1" customWidth="1"/>
    <col min="31" max="33" width="27.54296875" customWidth="1"/>
    <col min="34" max="34" width="23.6328125" customWidth="1"/>
    <col min="35" max="35" width="27.54296875" customWidth="1"/>
    <col min="36" max="36" width="12.453125" customWidth="1"/>
    <col min="37" max="37" width="10.36328125" customWidth="1"/>
    <col min="38" max="38" width="20.5429687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1162</v>
      </c>
      <c r="Y1" t="s">
        <v>24</v>
      </c>
      <c r="Z1" t="s">
        <v>25</v>
      </c>
      <c r="AA1" t="s">
        <v>1163</v>
      </c>
      <c r="AB1" t="s">
        <v>27</v>
      </c>
      <c r="AC1" t="s">
        <v>28</v>
      </c>
      <c r="AD1" t="s">
        <v>29</v>
      </c>
      <c r="AE1" s="73" t="s">
        <v>1159</v>
      </c>
      <c r="AF1" s="73" t="s">
        <v>1160</v>
      </c>
      <c r="AG1" s="73" t="s">
        <v>1161</v>
      </c>
      <c r="AH1" s="73" t="s">
        <v>1156</v>
      </c>
      <c r="AI1" s="73" t="s">
        <v>1157</v>
      </c>
      <c r="AJ1" s="73" t="s">
        <v>26</v>
      </c>
      <c r="AK1" s="73" t="s">
        <v>23</v>
      </c>
      <c r="AL1" s="73" t="s">
        <v>1174</v>
      </c>
    </row>
    <row r="2" spans="1:38" hidden="1" x14ac:dyDescent="0.3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s="42">
        <f>IF(All_India_Index_Upto_April23__3[[#This Row],[Sector]] = "Rural",VLOOKUP(A3,All_India_Index_Upto_April23__3[#All],21,FALSE),#REF!)</f>
        <v>100.3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  <c r="AE2" s="33">
        <f>SUM(All_India_Index_Upto_April23__3[[#This Row],[Cereals and products]:[Pan, tobacco and intoxicants]])</f>
        <v>1476.7999999999997</v>
      </c>
      <c r="AF2" s="33">
        <f>SUM(All_India_Index_Upto_April23__3[[#This Row],[Personal care and effects]],All_India_Index_Upto_April23__3[[#This Row],[Recreation and amusement]])</f>
        <v>208.10000000000002</v>
      </c>
      <c r="AG2" s="33">
        <f>SUM(All_India_Index_Upto_April23__3[[#This Row],[Transport and communication]],All_India_Index_Upto_April23__3[[#Headers],[Fuel and light]])</f>
        <v>103.3</v>
      </c>
      <c r="AH2" s="33">
        <f>SUM(All_India_Index_Upto_April23__3[[#This Row],[Clothing]],All_India_Index_Upto_April23__3[[#This Row],[Footwear]])</f>
        <v>212.3</v>
      </c>
      <c r="AI2" s="33">
        <f>SUM(U2,All_India_Index_Upto_April23__3[[#This Row],[Household goods and services]])</f>
        <v>205.1</v>
      </c>
      <c r="AJ2" s="33">
        <f>All_India_Index_Upto_April23__3[[#This Row],[Education2]]</f>
        <v>103.8</v>
      </c>
      <c r="AK2" s="33">
        <f>All_India_Index_Upto_April23__3[[#This Row],[Health2]]</f>
        <v>104</v>
      </c>
      <c r="AL2" s="26">
        <f>SUM(AE2:AK2)</f>
        <v>2413.3999999999996</v>
      </c>
    </row>
    <row r="3" spans="1:38" hidden="1" x14ac:dyDescent="0.35">
      <c r="A3" t="s">
        <v>54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  <c r="AE3" s="33">
        <v>1481.6000000000001</v>
      </c>
      <c r="AF3" s="33">
        <v>207.2</v>
      </c>
      <c r="AG3" s="33">
        <v>103.2</v>
      </c>
      <c r="AH3" s="33">
        <v>210.9</v>
      </c>
      <c r="AI3" s="33">
        <v>205.1</v>
      </c>
      <c r="AJ3" s="33">
        <v>103.5</v>
      </c>
      <c r="AK3" s="33">
        <v>104.1</v>
      </c>
      <c r="AL3" s="26">
        <v>2415.6000000000004</v>
      </c>
    </row>
    <row r="4" spans="1:38" x14ac:dyDescent="0.35">
      <c r="A4" t="s">
        <v>73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  <c r="AE4" s="33">
        <v>1478.4</v>
      </c>
      <c r="AF4" s="33">
        <v>207.6</v>
      </c>
      <c r="AG4" s="33">
        <v>103.2</v>
      </c>
      <c r="AH4" s="33">
        <v>211.8</v>
      </c>
      <c r="AI4" s="33">
        <v>205.1</v>
      </c>
      <c r="AJ4" s="33">
        <v>103.6</v>
      </c>
      <c r="AK4" s="33">
        <v>104</v>
      </c>
      <c r="AL4" s="26">
        <v>2413.6999999999998</v>
      </c>
    </row>
    <row r="5" spans="1:38" hidden="1" x14ac:dyDescent="0.35">
      <c r="A5" t="s">
        <v>30</v>
      </c>
      <c r="B5">
        <v>2013</v>
      </c>
      <c r="C5" t="s">
        <v>85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>
        <v>100.3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  <c r="AE5" s="33">
        <v>1485.9999999999998</v>
      </c>
      <c r="AF5" s="33">
        <v>208.6</v>
      </c>
      <c r="AG5" s="33">
        <v>103.9</v>
      </c>
      <c r="AH5" s="33">
        <v>213.39999999999998</v>
      </c>
      <c r="AI5" s="33">
        <v>205.5</v>
      </c>
      <c r="AJ5" s="33">
        <v>104.1</v>
      </c>
      <c r="AK5" s="33">
        <v>104.4</v>
      </c>
      <c r="AL5" s="26">
        <v>2425.8999999999996</v>
      </c>
    </row>
    <row r="6" spans="1:38" hidden="1" x14ac:dyDescent="0.35">
      <c r="A6" t="s">
        <v>54</v>
      </c>
      <c r="B6">
        <v>2013</v>
      </c>
      <c r="C6" t="s">
        <v>85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  <c r="AE6" s="33">
        <v>1496.6000000000001</v>
      </c>
      <c r="AF6" s="33">
        <v>207.6</v>
      </c>
      <c r="AG6" s="33">
        <v>104.4</v>
      </c>
      <c r="AH6" s="33">
        <v>212.1</v>
      </c>
      <c r="AI6" s="33">
        <v>205.60000000000002</v>
      </c>
      <c r="AJ6" s="33">
        <v>103.7</v>
      </c>
      <c r="AK6" s="33">
        <v>104.7</v>
      </c>
      <c r="AL6" s="26">
        <v>2434.6999999999998</v>
      </c>
    </row>
    <row r="7" spans="1:38" x14ac:dyDescent="0.35">
      <c r="A7" t="s">
        <v>73</v>
      </c>
      <c r="B7">
        <v>2013</v>
      </c>
      <c r="C7" t="s">
        <v>85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  <c r="AE7" s="33">
        <v>1489.9</v>
      </c>
      <c r="AF7" s="33">
        <v>208.1</v>
      </c>
      <c r="AG7" s="33">
        <v>104.2</v>
      </c>
      <c r="AH7" s="33">
        <v>212.9</v>
      </c>
      <c r="AI7" s="33">
        <v>205.60000000000002</v>
      </c>
      <c r="AJ7" s="33">
        <v>103.9</v>
      </c>
      <c r="AK7" s="33">
        <v>104.5</v>
      </c>
      <c r="AL7" s="26">
        <v>2429.1000000000004</v>
      </c>
    </row>
    <row r="8" spans="1:38" hidden="1" x14ac:dyDescent="0.35">
      <c r="A8" t="s">
        <v>30</v>
      </c>
      <c r="B8">
        <v>2013</v>
      </c>
      <c r="C8" t="s">
        <v>107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>
        <v>100.3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  <c r="AE8" s="33">
        <v>1488.7</v>
      </c>
      <c r="AF8" s="33">
        <v>208.3</v>
      </c>
      <c r="AG8" s="33">
        <v>104.6</v>
      </c>
      <c r="AH8" s="33">
        <v>214.39999999999998</v>
      </c>
      <c r="AI8" s="33">
        <v>205.89999999999998</v>
      </c>
      <c r="AJ8" s="33">
        <v>104.3</v>
      </c>
      <c r="AK8" s="33">
        <v>104.7</v>
      </c>
      <c r="AL8" s="26">
        <v>2430.9</v>
      </c>
    </row>
    <row r="9" spans="1:38" hidden="1" x14ac:dyDescent="0.35">
      <c r="A9" t="s">
        <v>54</v>
      </c>
      <c r="B9">
        <v>2013</v>
      </c>
      <c r="C9" t="s">
        <v>107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  <c r="AE9" s="33">
        <v>1493.6</v>
      </c>
      <c r="AF9" s="33">
        <v>207.7</v>
      </c>
      <c r="AG9" s="33">
        <v>105.5</v>
      </c>
      <c r="AH9" s="33">
        <v>213.2</v>
      </c>
      <c r="AI9" s="33">
        <v>206.10000000000002</v>
      </c>
      <c r="AJ9" s="33">
        <v>103.8</v>
      </c>
      <c r="AK9" s="33">
        <v>105.2</v>
      </c>
      <c r="AL9" s="26">
        <v>2435.1</v>
      </c>
    </row>
    <row r="10" spans="1:38" x14ac:dyDescent="0.35">
      <c r="A10" t="s">
        <v>73</v>
      </c>
      <c r="B10">
        <v>2013</v>
      </c>
      <c r="C10" t="s">
        <v>107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  <c r="AE10" s="33">
        <v>1490.6000000000001</v>
      </c>
      <c r="AF10" s="33">
        <v>208</v>
      </c>
      <c r="AG10" s="33">
        <v>105.1</v>
      </c>
      <c r="AH10" s="33">
        <v>213.9</v>
      </c>
      <c r="AI10" s="33">
        <v>206</v>
      </c>
      <c r="AJ10" s="33">
        <v>104</v>
      </c>
      <c r="AK10" s="33">
        <v>104.9</v>
      </c>
      <c r="AL10" s="26">
        <v>2432.5000000000005</v>
      </c>
    </row>
    <row r="11" spans="1:38" hidden="1" x14ac:dyDescent="0.35">
      <c r="A11" t="s">
        <v>30</v>
      </c>
      <c r="B11">
        <v>2013</v>
      </c>
      <c r="C11" t="s">
        <v>123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>
        <v>100.3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  <c r="AE11" s="33">
        <v>1492.8999999999999</v>
      </c>
      <c r="AF11" s="33">
        <v>207.2</v>
      </c>
      <c r="AG11" s="33">
        <v>104.4</v>
      </c>
      <c r="AH11" s="33">
        <v>215.5</v>
      </c>
      <c r="AI11" s="33">
        <v>206.39999999999998</v>
      </c>
      <c r="AJ11" s="33">
        <v>104.8</v>
      </c>
      <c r="AK11" s="33">
        <v>105.1</v>
      </c>
      <c r="AL11" s="26">
        <v>2436.3000000000002</v>
      </c>
    </row>
    <row r="12" spans="1:38" hidden="1" x14ac:dyDescent="0.35">
      <c r="A12" t="s">
        <v>54</v>
      </c>
      <c r="B12">
        <v>2013</v>
      </c>
      <c r="C12" t="s">
        <v>123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  <c r="AE12" s="33">
        <v>1506.1999999999998</v>
      </c>
      <c r="AF12" s="33">
        <v>207.2</v>
      </c>
      <c r="AG12" s="33">
        <v>105</v>
      </c>
      <c r="AH12" s="33">
        <v>214.3</v>
      </c>
      <c r="AI12" s="33">
        <v>207</v>
      </c>
      <c r="AJ12" s="33">
        <v>105.2</v>
      </c>
      <c r="AK12" s="33">
        <v>105.7</v>
      </c>
      <c r="AL12" s="26">
        <v>2450.5999999999995</v>
      </c>
    </row>
    <row r="13" spans="1:38" x14ac:dyDescent="0.35">
      <c r="A13" t="s">
        <v>73</v>
      </c>
      <c r="B13">
        <v>2013</v>
      </c>
      <c r="C13" t="s">
        <v>123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  <c r="AE13" s="33">
        <v>1497.7</v>
      </c>
      <c r="AF13" s="33">
        <v>207.10000000000002</v>
      </c>
      <c r="AG13" s="33">
        <v>104.7</v>
      </c>
      <c r="AH13" s="33">
        <v>215</v>
      </c>
      <c r="AI13" s="33">
        <v>206.8</v>
      </c>
      <c r="AJ13" s="33">
        <v>105</v>
      </c>
      <c r="AK13" s="33">
        <v>105.3</v>
      </c>
      <c r="AL13" s="26">
        <v>2441.6000000000004</v>
      </c>
    </row>
    <row r="14" spans="1:38" hidden="1" x14ac:dyDescent="0.35">
      <c r="A14" t="s">
        <v>30</v>
      </c>
      <c r="B14">
        <v>2013</v>
      </c>
      <c r="C14" t="s">
        <v>136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>
        <v>100.3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  <c r="AE14" s="33">
        <v>1502.1</v>
      </c>
      <c r="AF14" s="33">
        <v>207.1</v>
      </c>
      <c r="AG14" s="33">
        <v>104.1</v>
      </c>
      <c r="AH14" s="33">
        <v>216.7</v>
      </c>
      <c r="AI14" s="33">
        <v>207.1</v>
      </c>
      <c r="AJ14" s="33">
        <v>105.5</v>
      </c>
      <c r="AK14" s="33">
        <v>105.7</v>
      </c>
      <c r="AL14" s="26">
        <v>2448.2999999999997</v>
      </c>
    </row>
    <row r="15" spans="1:38" hidden="1" x14ac:dyDescent="0.35">
      <c r="A15" t="s">
        <v>54</v>
      </c>
      <c r="B15">
        <v>2013</v>
      </c>
      <c r="C15" t="s">
        <v>136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  <c r="AE15" s="33">
        <v>1526.9999999999998</v>
      </c>
      <c r="AF15" s="33">
        <v>207.2</v>
      </c>
      <c r="AG15" s="33">
        <v>103.9</v>
      </c>
      <c r="AH15" s="33">
        <v>215.2</v>
      </c>
      <c r="AI15" s="33">
        <v>207.6</v>
      </c>
      <c r="AJ15" s="33">
        <v>105.7</v>
      </c>
      <c r="AK15" s="33">
        <v>106.2</v>
      </c>
      <c r="AL15" s="26">
        <v>2472.7999999999993</v>
      </c>
    </row>
    <row r="16" spans="1:38" x14ac:dyDescent="0.35">
      <c r="A16" t="s">
        <v>73</v>
      </c>
      <c r="B16">
        <v>2013</v>
      </c>
      <c r="C16" t="s">
        <v>136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  <c r="AE16" s="33">
        <v>1510.7999999999997</v>
      </c>
      <c r="AF16" s="33">
        <v>207.1</v>
      </c>
      <c r="AG16" s="33">
        <v>104</v>
      </c>
      <c r="AH16" s="33">
        <v>216.10000000000002</v>
      </c>
      <c r="AI16" s="33">
        <v>207.4</v>
      </c>
      <c r="AJ16" s="33">
        <v>105.6</v>
      </c>
      <c r="AK16" s="33">
        <v>105.9</v>
      </c>
      <c r="AL16" s="26">
        <v>2456.8999999999996</v>
      </c>
    </row>
    <row r="17" spans="1:38" hidden="1" x14ac:dyDescent="0.35">
      <c r="A17" t="s">
        <v>30</v>
      </c>
      <c r="B17">
        <v>2013</v>
      </c>
      <c r="C17" t="s">
        <v>146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>
        <v>100.3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  <c r="AE17" s="33">
        <v>1529</v>
      </c>
      <c r="AF17" s="33">
        <v>208.1</v>
      </c>
      <c r="AG17" s="33">
        <v>105</v>
      </c>
      <c r="AH17" s="33">
        <v>218.5</v>
      </c>
      <c r="AI17" s="33">
        <v>207.8</v>
      </c>
      <c r="AJ17" s="33">
        <v>106.5</v>
      </c>
      <c r="AK17" s="33">
        <v>106.3</v>
      </c>
      <c r="AL17" s="26">
        <v>2481.2000000000003</v>
      </c>
    </row>
    <row r="18" spans="1:38" hidden="1" x14ac:dyDescent="0.35">
      <c r="A18" t="s">
        <v>54</v>
      </c>
      <c r="B18">
        <v>2013</v>
      </c>
      <c r="C18" t="s">
        <v>146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  <c r="AE18" s="33">
        <v>1575.5000000000002</v>
      </c>
      <c r="AF18" s="33">
        <v>208.5</v>
      </c>
      <c r="AG18" s="33">
        <v>105.2</v>
      </c>
      <c r="AH18" s="33">
        <v>216.4</v>
      </c>
      <c r="AI18" s="33">
        <v>214.3</v>
      </c>
      <c r="AJ18" s="33">
        <v>108.1</v>
      </c>
      <c r="AK18" s="33">
        <v>106.5</v>
      </c>
      <c r="AL18" s="26">
        <v>2534.5000000000005</v>
      </c>
    </row>
    <row r="19" spans="1:38" x14ac:dyDescent="0.35">
      <c r="A19" t="s">
        <v>73</v>
      </c>
      <c r="B19">
        <v>2013</v>
      </c>
      <c r="C19" t="s">
        <v>146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  <c r="AE19" s="33">
        <v>1545.5</v>
      </c>
      <c r="AF19" s="33">
        <v>208.2</v>
      </c>
      <c r="AG19" s="33">
        <v>105.1</v>
      </c>
      <c r="AH19" s="33">
        <v>217.6</v>
      </c>
      <c r="AI19" s="33">
        <v>214.2</v>
      </c>
      <c r="AJ19" s="33">
        <v>107.4</v>
      </c>
      <c r="AK19" s="33">
        <v>106.4</v>
      </c>
      <c r="AL19" s="26">
        <v>2504.4</v>
      </c>
    </row>
    <row r="20" spans="1:38" hidden="1" x14ac:dyDescent="0.35">
      <c r="A20" t="s">
        <v>30</v>
      </c>
      <c r="B20">
        <v>2013</v>
      </c>
      <c r="C20" t="s">
        <v>163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>
        <v>100.3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  <c r="AE20" s="33">
        <v>1555.6999999999996</v>
      </c>
      <c r="AF20" s="33">
        <v>208.9</v>
      </c>
      <c r="AG20" s="33">
        <v>106.8</v>
      </c>
      <c r="AH20" s="33">
        <v>220</v>
      </c>
      <c r="AI20" s="33">
        <v>208.6</v>
      </c>
      <c r="AJ20" s="33">
        <v>107.8</v>
      </c>
      <c r="AK20" s="33">
        <v>106.9</v>
      </c>
      <c r="AL20" s="26">
        <v>2514.6999999999998</v>
      </c>
    </row>
    <row r="21" spans="1:38" hidden="1" x14ac:dyDescent="0.35">
      <c r="A21" t="s">
        <v>54</v>
      </c>
      <c r="B21">
        <v>2013</v>
      </c>
      <c r="C21" t="s">
        <v>163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  <c r="AE21" s="33">
        <v>1601.1000000000001</v>
      </c>
      <c r="AF21" s="33">
        <v>209.10000000000002</v>
      </c>
      <c r="AG21" s="33">
        <v>107.3</v>
      </c>
      <c r="AH21" s="33">
        <v>217.6</v>
      </c>
      <c r="AI21" s="33">
        <v>215.8</v>
      </c>
      <c r="AJ21" s="33">
        <v>110.1</v>
      </c>
      <c r="AK21" s="33">
        <v>107.1</v>
      </c>
      <c r="AL21" s="26">
        <v>2568.1000000000004</v>
      </c>
    </row>
    <row r="22" spans="1:38" x14ac:dyDescent="0.35">
      <c r="A22" t="s">
        <v>73</v>
      </c>
      <c r="B22">
        <v>2013</v>
      </c>
      <c r="C22" t="s">
        <v>163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  <c r="AE22" s="33">
        <v>1571.6999999999998</v>
      </c>
      <c r="AF22" s="33">
        <v>208.89999999999998</v>
      </c>
      <c r="AG22" s="33">
        <v>107.1</v>
      </c>
      <c r="AH22" s="33">
        <v>219</v>
      </c>
      <c r="AI22" s="33">
        <v>215.9</v>
      </c>
      <c r="AJ22" s="33">
        <v>109.1</v>
      </c>
      <c r="AK22" s="33">
        <v>107</v>
      </c>
      <c r="AL22" s="26">
        <v>2538.6999999999998</v>
      </c>
    </row>
    <row r="23" spans="1:38" hidden="1" x14ac:dyDescent="0.35">
      <c r="A23" t="s">
        <v>30</v>
      </c>
      <c r="B23">
        <v>2013</v>
      </c>
      <c r="C23" t="s">
        <v>182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>
        <v>100.3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  <c r="AE23" s="33">
        <v>1573.2</v>
      </c>
      <c r="AF23" s="33">
        <v>211.8</v>
      </c>
      <c r="AG23" s="33">
        <v>107.8</v>
      </c>
      <c r="AH23" s="33">
        <v>221.5</v>
      </c>
      <c r="AI23" s="33">
        <v>209</v>
      </c>
      <c r="AJ23" s="33">
        <v>108.7</v>
      </c>
      <c r="AK23" s="33">
        <v>107.5</v>
      </c>
      <c r="AL23" s="26">
        <v>2539.5</v>
      </c>
    </row>
    <row r="24" spans="1:38" hidden="1" x14ac:dyDescent="0.35">
      <c r="A24" t="s">
        <v>54</v>
      </c>
      <c r="B24">
        <v>2013</v>
      </c>
      <c r="C24" t="s">
        <v>182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  <c r="AE24" s="33">
        <v>1618.5000000000002</v>
      </c>
      <c r="AF24" s="33">
        <v>212.5</v>
      </c>
      <c r="AG24" s="33">
        <v>108.1</v>
      </c>
      <c r="AH24" s="33">
        <v>218.89999999999998</v>
      </c>
      <c r="AI24" s="33">
        <v>217.60000000000002</v>
      </c>
      <c r="AJ24" s="33">
        <v>110.8</v>
      </c>
      <c r="AK24" s="33">
        <v>107.6</v>
      </c>
      <c r="AL24" s="26">
        <v>2594</v>
      </c>
    </row>
    <row r="25" spans="1:38" x14ac:dyDescent="0.35">
      <c r="A25" t="s">
        <v>73</v>
      </c>
      <c r="B25">
        <v>2013</v>
      </c>
      <c r="C25" t="s">
        <v>182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  <c r="AE25" s="33">
        <v>1588.6000000000001</v>
      </c>
      <c r="AF25" s="33">
        <v>212</v>
      </c>
      <c r="AG25" s="33">
        <v>108</v>
      </c>
      <c r="AH25" s="33">
        <v>220.4</v>
      </c>
      <c r="AI25" s="33">
        <v>217.60000000000002</v>
      </c>
      <c r="AJ25" s="33">
        <v>109.9</v>
      </c>
      <c r="AK25" s="33">
        <v>107.5</v>
      </c>
      <c r="AL25" s="26">
        <v>2564</v>
      </c>
    </row>
    <row r="26" spans="1:38" hidden="1" x14ac:dyDescent="0.35">
      <c r="A26" t="s">
        <v>30</v>
      </c>
      <c r="B26">
        <v>2013</v>
      </c>
      <c r="C26" t="s">
        <v>197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>
        <v>100.3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  <c r="AE26" s="33">
        <v>1600.2000000000003</v>
      </c>
      <c r="AF26" s="33">
        <v>214.4</v>
      </c>
      <c r="AG26" s="33">
        <v>109.3</v>
      </c>
      <c r="AH26" s="33">
        <v>224.10000000000002</v>
      </c>
      <c r="AI26" s="33">
        <v>209.89999999999998</v>
      </c>
      <c r="AJ26" s="33">
        <v>109.8</v>
      </c>
      <c r="AK26" s="33">
        <v>108.3</v>
      </c>
      <c r="AL26" s="26">
        <v>2576.0000000000009</v>
      </c>
    </row>
    <row r="27" spans="1:38" hidden="1" x14ac:dyDescent="0.35">
      <c r="A27" t="s">
        <v>54</v>
      </c>
      <c r="B27">
        <v>2013</v>
      </c>
      <c r="C27" t="s">
        <v>197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  <c r="AE27" s="33">
        <v>1613.3000000000002</v>
      </c>
      <c r="AF27" s="33">
        <v>214.3</v>
      </c>
      <c r="AG27" s="33">
        <v>110.4</v>
      </c>
      <c r="AH27" s="33">
        <v>220.4</v>
      </c>
      <c r="AI27" s="33">
        <v>219.3</v>
      </c>
      <c r="AJ27" s="33">
        <v>111.2</v>
      </c>
      <c r="AK27" s="33">
        <v>107.9</v>
      </c>
      <c r="AL27" s="26">
        <v>2596.8000000000002</v>
      </c>
    </row>
    <row r="28" spans="1:38" x14ac:dyDescent="0.35">
      <c r="A28" t="s">
        <v>73</v>
      </c>
      <c r="B28">
        <v>2013</v>
      </c>
      <c r="C28" t="s">
        <v>197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  <c r="AE28" s="33">
        <v>1603.6999999999998</v>
      </c>
      <c r="AF28" s="33">
        <v>214.3</v>
      </c>
      <c r="AG28" s="33">
        <v>109.9</v>
      </c>
      <c r="AH28" s="33">
        <v>222.60000000000002</v>
      </c>
      <c r="AI28" s="33">
        <v>219.3</v>
      </c>
      <c r="AJ28" s="33">
        <v>110.6</v>
      </c>
      <c r="AK28" s="33">
        <v>108.1</v>
      </c>
      <c r="AL28" s="26">
        <v>2588.5</v>
      </c>
    </row>
    <row r="29" spans="1:38" hidden="1" x14ac:dyDescent="0.35">
      <c r="A29" t="s">
        <v>30</v>
      </c>
      <c r="B29">
        <v>2013</v>
      </c>
      <c r="C29" t="s">
        <v>207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>
        <v>100.3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  <c r="AE29" s="33">
        <v>1620.2</v>
      </c>
      <c r="AF29" s="33">
        <v>215.8</v>
      </c>
      <c r="AG29" s="33">
        <v>109.3</v>
      </c>
      <c r="AH29" s="33">
        <v>225.89999999999998</v>
      </c>
      <c r="AI29" s="33">
        <v>210.7</v>
      </c>
      <c r="AJ29" s="33">
        <v>110.2</v>
      </c>
      <c r="AK29" s="33">
        <v>108.9</v>
      </c>
      <c r="AL29" s="26">
        <v>2600.9999999999995</v>
      </c>
    </row>
    <row r="30" spans="1:38" hidden="1" x14ac:dyDescent="0.35">
      <c r="A30" t="s">
        <v>54</v>
      </c>
      <c r="B30">
        <v>2013</v>
      </c>
      <c r="C30" t="s">
        <v>207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  <c r="AE30" s="33">
        <v>1630.6999999999998</v>
      </c>
      <c r="AF30" s="33">
        <v>215.3</v>
      </c>
      <c r="AG30" s="33">
        <v>109.7</v>
      </c>
      <c r="AH30" s="33">
        <v>222.2</v>
      </c>
      <c r="AI30" s="33">
        <v>220.7</v>
      </c>
      <c r="AJ30" s="33">
        <v>111.3</v>
      </c>
      <c r="AK30" s="33">
        <v>108.2</v>
      </c>
      <c r="AL30" s="26">
        <v>2618.0999999999995</v>
      </c>
    </row>
    <row r="31" spans="1:38" x14ac:dyDescent="0.35">
      <c r="A31" t="s">
        <v>73</v>
      </c>
      <c r="B31">
        <v>2013</v>
      </c>
      <c r="C31" t="s">
        <v>207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  <c r="AE31" s="33">
        <v>1622.7000000000003</v>
      </c>
      <c r="AF31" s="33">
        <v>215.5</v>
      </c>
      <c r="AG31" s="33">
        <v>109.5</v>
      </c>
      <c r="AH31" s="33">
        <v>224.4</v>
      </c>
      <c r="AI31" s="33">
        <v>220.8</v>
      </c>
      <c r="AJ31" s="33">
        <v>110.8</v>
      </c>
      <c r="AK31" s="33">
        <v>108.6</v>
      </c>
      <c r="AL31" s="26">
        <v>2612.3000000000006</v>
      </c>
    </row>
    <row r="32" spans="1:38" hidden="1" x14ac:dyDescent="0.35">
      <c r="A32" t="s">
        <v>30</v>
      </c>
      <c r="B32">
        <v>2013</v>
      </c>
      <c r="C32" t="s">
        <v>225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>
        <v>100.3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  <c r="AE32" s="33">
        <v>1649.6</v>
      </c>
      <c r="AF32" s="33">
        <v>216.9</v>
      </c>
      <c r="AG32" s="33">
        <v>109.6</v>
      </c>
      <c r="AH32" s="33">
        <v>227.7</v>
      </c>
      <c r="AI32" s="33">
        <v>211.6</v>
      </c>
      <c r="AJ32" s="33">
        <v>111</v>
      </c>
      <c r="AK32" s="33">
        <v>109.7</v>
      </c>
      <c r="AL32" s="26">
        <v>2636.0999999999995</v>
      </c>
    </row>
    <row r="33" spans="1:38" hidden="1" x14ac:dyDescent="0.35">
      <c r="A33" t="s">
        <v>54</v>
      </c>
      <c r="B33">
        <v>2013</v>
      </c>
      <c r="C33" t="s">
        <v>233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  <c r="AE33" s="33">
        <v>1658.6999999999998</v>
      </c>
      <c r="AF33" s="33">
        <v>216.4</v>
      </c>
      <c r="AG33" s="33">
        <v>109.5</v>
      </c>
      <c r="AH33" s="33">
        <v>223.8</v>
      </c>
      <c r="AI33" s="33">
        <v>222</v>
      </c>
      <c r="AJ33" s="33">
        <v>111.3</v>
      </c>
      <c r="AK33" s="33">
        <v>108.6</v>
      </c>
      <c r="AL33" s="26">
        <v>2650.3</v>
      </c>
    </row>
    <row r="34" spans="1:38" x14ac:dyDescent="0.35">
      <c r="A34" t="s">
        <v>73</v>
      </c>
      <c r="B34">
        <v>2013</v>
      </c>
      <c r="C34" t="s">
        <v>233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  <c r="AE34" s="33">
        <v>1651.8999999999999</v>
      </c>
      <c r="AF34" s="33">
        <v>216.7</v>
      </c>
      <c r="AG34" s="33">
        <v>109.5</v>
      </c>
      <c r="AH34" s="33">
        <v>226.10000000000002</v>
      </c>
      <c r="AI34" s="33">
        <v>222.2</v>
      </c>
      <c r="AJ34" s="33">
        <v>111.2</v>
      </c>
      <c r="AK34" s="33">
        <v>109.3</v>
      </c>
      <c r="AL34" s="26">
        <v>2646.8999999999996</v>
      </c>
    </row>
    <row r="35" spans="1:38" hidden="1" x14ac:dyDescent="0.35">
      <c r="A35" t="s">
        <v>30</v>
      </c>
      <c r="B35">
        <v>2013</v>
      </c>
      <c r="C35" t="s">
        <v>242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>
        <v>100.3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  <c r="AE35" s="33">
        <v>1622.6</v>
      </c>
      <c r="AF35" s="33">
        <v>217.3</v>
      </c>
      <c r="AG35" s="33">
        <v>109.9</v>
      </c>
      <c r="AH35" s="33">
        <v>229.8</v>
      </c>
      <c r="AI35" s="33">
        <v>212.39999999999998</v>
      </c>
      <c r="AJ35" s="33">
        <v>111.6</v>
      </c>
      <c r="AK35" s="33">
        <v>110.1</v>
      </c>
      <c r="AL35" s="26">
        <v>2613.6999999999998</v>
      </c>
    </row>
    <row r="36" spans="1:38" hidden="1" x14ac:dyDescent="0.35">
      <c r="A36" t="s">
        <v>54</v>
      </c>
      <c r="B36">
        <v>2013</v>
      </c>
      <c r="C36" t="s">
        <v>242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  <c r="AE36" s="33">
        <v>1619.4</v>
      </c>
      <c r="AF36" s="33">
        <v>216.60000000000002</v>
      </c>
      <c r="AG36" s="33">
        <v>109.7</v>
      </c>
      <c r="AH36" s="33">
        <v>225.10000000000002</v>
      </c>
      <c r="AI36" s="33">
        <v>222</v>
      </c>
      <c r="AJ36" s="33">
        <v>111.4</v>
      </c>
      <c r="AK36" s="33">
        <v>109</v>
      </c>
      <c r="AL36" s="26">
        <v>2613.2000000000003</v>
      </c>
    </row>
    <row r="37" spans="1:38" x14ac:dyDescent="0.35">
      <c r="A37" t="s">
        <v>73</v>
      </c>
      <c r="B37">
        <v>2013</v>
      </c>
      <c r="C37" t="s">
        <v>242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  <c r="AE37" s="33">
        <v>1621.3000000000002</v>
      </c>
      <c r="AF37" s="33">
        <v>216.9</v>
      </c>
      <c r="AG37" s="33">
        <v>109.8</v>
      </c>
      <c r="AH37" s="33">
        <v>227.9</v>
      </c>
      <c r="AI37" s="33">
        <v>222.4</v>
      </c>
      <c r="AJ37" s="33">
        <v>111.5</v>
      </c>
      <c r="AK37" s="33">
        <v>109.7</v>
      </c>
      <c r="AL37" s="26">
        <v>2619.5</v>
      </c>
    </row>
    <row r="38" spans="1:38" hidden="1" x14ac:dyDescent="0.3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>
        <v>100.3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  <c r="AE38" s="33">
        <v>1600.6000000000001</v>
      </c>
      <c r="AF38" s="33">
        <v>217.89999999999998</v>
      </c>
      <c r="AG38" s="33">
        <v>110.5</v>
      </c>
      <c r="AH38" s="33">
        <v>231</v>
      </c>
      <c r="AI38" s="33">
        <v>212.89999999999998</v>
      </c>
      <c r="AJ38" s="33">
        <v>111.8</v>
      </c>
      <c r="AK38" s="33">
        <v>110.6</v>
      </c>
      <c r="AL38" s="26">
        <v>2595.3000000000002</v>
      </c>
    </row>
    <row r="39" spans="1:38" hidden="1" x14ac:dyDescent="0.35">
      <c r="A39" t="s">
        <v>54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  <c r="AE39" s="33">
        <v>1600</v>
      </c>
      <c r="AF39" s="33">
        <v>217.8</v>
      </c>
      <c r="AG39" s="33">
        <v>110.8</v>
      </c>
      <c r="AH39" s="33">
        <v>226.1</v>
      </c>
      <c r="AI39" s="33">
        <v>223.5</v>
      </c>
      <c r="AJ39" s="33">
        <v>111.5</v>
      </c>
      <c r="AK39" s="33">
        <v>109.7</v>
      </c>
      <c r="AL39" s="26">
        <v>2599.3999999999996</v>
      </c>
    </row>
    <row r="40" spans="1:38" x14ac:dyDescent="0.35">
      <c r="A40" t="s">
        <v>73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  <c r="AE40" s="33">
        <v>1600.2999999999997</v>
      </c>
      <c r="AF40" s="33">
        <v>217.9</v>
      </c>
      <c r="AG40" s="33">
        <v>110.7</v>
      </c>
      <c r="AH40" s="33">
        <v>229</v>
      </c>
      <c r="AI40" s="33">
        <v>223.89999999999998</v>
      </c>
      <c r="AJ40" s="33">
        <v>111.6</v>
      </c>
      <c r="AK40" s="33">
        <v>110.3</v>
      </c>
      <c r="AL40" s="26">
        <v>2603.6999999999998</v>
      </c>
    </row>
    <row r="41" spans="1:38" hidden="1" x14ac:dyDescent="0.35">
      <c r="A41" t="s">
        <v>30</v>
      </c>
      <c r="B41">
        <v>2014</v>
      </c>
      <c r="C41" t="s">
        <v>85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>
        <v>100.3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  <c r="AE41" s="33">
        <v>1596.4</v>
      </c>
      <c r="AF41" s="33">
        <v>218.60000000000002</v>
      </c>
      <c r="AG41" s="33">
        <v>110.8</v>
      </c>
      <c r="AH41" s="33">
        <v>231.6</v>
      </c>
      <c r="AI41" s="33">
        <v>213.2</v>
      </c>
      <c r="AJ41" s="33">
        <v>112</v>
      </c>
      <c r="AK41" s="33">
        <v>110.9</v>
      </c>
      <c r="AL41" s="26">
        <v>2593.5</v>
      </c>
    </row>
    <row r="42" spans="1:38" hidden="1" x14ac:dyDescent="0.35">
      <c r="A42" t="s">
        <v>54</v>
      </c>
      <c r="B42">
        <v>2014</v>
      </c>
      <c r="C42" t="s">
        <v>85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  <c r="AE42" s="33">
        <v>1592.2</v>
      </c>
      <c r="AF42" s="33">
        <v>219</v>
      </c>
      <c r="AG42" s="33">
        <v>111.3</v>
      </c>
      <c r="AH42" s="33">
        <v>227</v>
      </c>
      <c r="AI42" s="33">
        <v>225.1</v>
      </c>
      <c r="AJ42" s="33">
        <v>111.6</v>
      </c>
      <c r="AK42" s="33">
        <v>110.4</v>
      </c>
      <c r="AL42" s="26">
        <v>2596.6</v>
      </c>
    </row>
    <row r="43" spans="1:38" x14ac:dyDescent="0.35">
      <c r="A43" t="s">
        <v>73</v>
      </c>
      <c r="B43">
        <v>2014</v>
      </c>
      <c r="C43" t="s">
        <v>85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  <c r="AE43" s="33">
        <v>1594.8</v>
      </c>
      <c r="AF43" s="33">
        <v>218.8</v>
      </c>
      <c r="AG43" s="33">
        <v>111.1</v>
      </c>
      <c r="AH43" s="33">
        <v>229.7</v>
      </c>
      <c r="AI43" s="33">
        <v>225.3</v>
      </c>
      <c r="AJ43" s="33">
        <v>111.8</v>
      </c>
      <c r="AK43" s="33">
        <v>110.7</v>
      </c>
      <c r="AL43" s="26">
        <v>2602.1999999999998</v>
      </c>
    </row>
    <row r="44" spans="1:38" hidden="1" x14ac:dyDescent="0.35">
      <c r="A44" t="s">
        <v>30</v>
      </c>
      <c r="B44">
        <v>2014</v>
      </c>
      <c r="C44" t="s">
        <v>107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>
        <v>100.3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  <c r="AE44" s="33">
        <v>1606</v>
      </c>
      <c r="AF44" s="33">
        <v>219.10000000000002</v>
      </c>
      <c r="AG44" s="33">
        <v>111.2</v>
      </c>
      <c r="AH44" s="33">
        <v>232.4</v>
      </c>
      <c r="AI44" s="33">
        <v>213.7</v>
      </c>
      <c r="AJ44" s="33">
        <v>112.4</v>
      </c>
      <c r="AK44" s="33">
        <v>111.4</v>
      </c>
      <c r="AL44" s="26">
        <v>2606.1999999999998</v>
      </c>
    </row>
    <row r="45" spans="1:38" hidden="1" x14ac:dyDescent="0.35">
      <c r="A45" t="s">
        <v>54</v>
      </c>
      <c r="B45">
        <v>2014</v>
      </c>
      <c r="C45" t="s">
        <v>107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  <c r="AE45" s="33">
        <v>1599.7</v>
      </c>
      <c r="AF45" s="33">
        <v>220.10000000000002</v>
      </c>
      <c r="AG45" s="33">
        <v>111.6</v>
      </c>
      <c r="AH45" s="33">
        <v>227.89999999999998</v>
      </c>
      <c r="AI45" s="33">
        <v>226.2</v>
      </c>
      <c r="AJ45" s="33">
        <v>111.8</v>
      </c>
      <c r="AK45" s="33">
        <v>110.8</v>
      </c>
      <c r="AL45" s="26">
        <v>2608.1000000000004</v>
      </c>
    </row>
    <row r="46" spans="1:38" x14ac:dyDescent="0.35">
      <c r="A46" t="s">
        <v>73</v>
      </c>
      <c r="B46">
        <v>2014</v>
      </c>
      <c r="C46" t="s">
        <v>107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  <c r="AE46" s="33">
        <v>1603.4999999999998</v>
      </c>
      <c r="AF46" s="33">
        <v>219.6</v>
      </c>
      <c r="AG46" s="33">
        <v>111.4</v>
      </c>
      <c r="AH46" s="33">
        <v>230.5</v>
      </c>
      <c r="AI46" s="33">
        <v>226.4</v>
      </c>
      <c r="AJ46" s="33">
        <v>112</v>
      </c>
      <c r="AK46" s="33">
        <v>111.2</v>
      </c>
      <c r="AL46" s="26">
        <v>2614.6</v>
      </c>
    </row>
    <row r="47" spans="1:38" hidden="1" x14ac:dyDescent="0.35">
      <c r="A47" t="s">
        <v>30</v>
      </c>
      <c r="B47">
        <v>2014</v>
      </c>
      <c r="C47" t="s">
        <v>123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>
        <v>100.3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  <c r="AE47" s="33">
        <v>1619.5000000000002</v>
      </c>
      <c r="AF47" s="33">
        <v>219.4</v>
      </c>
      <c r="AG47" s="33">
        <v>111.2</v>
      </c>
      <c r="AH47" s="33">
        <v>234.2</v>
      </c>
      <c r="AI47" s="33">
        <v>214</v>
      </c>
      <c r="AJ47" s="33">
        <v>113</v>
      </c>
      <c r="AK47" s="33">
        <v>111.8</v>
      </c>
      <c r="AL47" s="26">
        <v>2623.1000000000004</v>
      </c>
    </row>
    <row r="48" spans="1:38" hidden="1" x14ac:dyDescent="0.35">
      <c r="A48" t="s">
        <v>54</v>
      </c>
      <c r="B48">
        <v>2014</v>
      </c>
      <c r="C48" t="s">
        <v>123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  <c r="AE48" s="33">
        <v>1621.6000000000001</v>
      </c>
      <c r="AF48" s="33">
        <v>220.3</v>
      </c>
      <c r="AG48" s="33">
        <v>111.2</v>
      </c>
      <c r="AH48" s="33">
        <v>228.8</v>
      </c>
      <c r="AI48" s="33">
        <v>227.3</v>
      </c>
      <c r="AJ48" s="33">
        <v>112.5</v>
      </c>
      <c r="AK48" s="33">
        <v>111</v>
      </c>
      <c r="AL48" s="26">
        <v>2632.7000000000003</v>
      </c>
    </row>
    <row r="49" spans="1:38" x14ac:dyDescent="0.35">
      <c r="A49" t="s">
        <v>73</v>
      </c>
      <c r="B49">
        <v>2014</v>
      </c>
      <c r="C49" t="s">
        <v>123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  <c r="AE49" s="33">
        <v>1620.1</v>
      </c>
      <c r="AF49" s="33">
        <v>219.9</v>
      </c>
      <c r="AG49" s="33">
        <v>111.2</v>
      </c>
      <c r="AH49" s="33">
        <v>232</v>
      </c>
      <c r="AI49" s="33">
        <v>227.5</v>
      </c>
      <c r="AJ49" s="33">
        <v>112.7</v>
      </c>
      <c r="AK49" s="33">
        <v>111.5</v>
      </c>
      <c r="AL49" s="26">
        <v>2634.8999999999996</v>
      </c>
    </row>
    <row r="50" spans="1:38" hidden="1" x14ac:dyDescent="0.35">
      <c r="A50" t="s">
        <v>30</v>
      </c>
      <c r="B50">
        <v>2014</v>
      </c>
      <c r="C50" t="s">
        <v>136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>
        <v>100.3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  <c r="AE50" s="33">
        <v>1630.1999999999998</v>
      </c>
      <c r="AF50" s="33">
        <v>219.8</v>
      </c>
      <c r="AG50" s="33">
        <v>111.4</v>
      </c>
      <c r="AH50" s="33">
        <v>235.5</v>
      </c>
      <c r="AI50" s="33">
        <v>214.39999999999998</v>
      </c>
      <c r="AJ50" s="33">
        <v>113.1</v>
      </c>
      <c r="AK50" s="33">
        <v>112.1</v>
      </c>
      <c r="AL50" s="26">
        <v>2636.4999999999995</v>
      </c>
    </row>
    <row r="51" spans="1:38" hidden="1" x14ac:dyDescent="0.35">
      <c r="A51" t="s">
        <v>54</v>
      </c>
      <c r="B51">
        <v>2014</v>
      </c>
      <c r="C51" t="s">
        <v>136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  <c r="AE51" s="33">
        <v>1643.6000000000001</v>
      </c>
      <c r="AF51" s="33">
        <v>220.8</v>
      </c>
      <c r="AG51" s="33">
        <v>111.3</v>
      </c>
      <c r="AH51" s="33">
        <v>229.7</v>
      </c>
      <c r="AI51" s="33">
        <v>228.39999999999998</v>
      </c>
      <c r="AJ51" s="33">
        <v>112.9</v>
      </c>
      <c r="AK51" s="33">
        <v>111.2</v>
      </c>
      <c r="AL51" s="26">
        <v>2657.9</v>
      </c>
    </row>
    <row r="52" spans="1:38" x14ac:dyDescent="0.35">
      <c r="A52" t="s">
        <v>73</v>
      </c>
      <c r="B52">
        <v>2014</v>
      </c>
      <c r="C52" t="s">
        <v>136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  <c r="AE52" s="33">
        <v>1635.3000000000004</v>
      </c>
      <c r="AF52" s="33">
        <v>220.3</v>
      </c>
      <c r="AG52" s="33">
        <v>111.3</v>
      </c>
      <c r="AH52" s="33">
        <v>233.2</v>
      </c>
      <c r="AI52" s="33">
        <v>228.39999999999998</v>
      </c>
      <c r="AJ52" s="33">
        <v>113</v>
      </c>
      <c r="AK52" s="33">
        <v>111.8</v>
      </c>
      <c r="AL52" s="26">
        <v>2653.3000000000006</v>
      </c>
    </row>
    <row r="53" spans="1:38" hidden="1" x14ac:dyDescent="0.35">
      <c r="A53" t="s">
        <v>30</v>
      </c>
      <c r="B53">
        <v>2014</v>
      </c>
      <c r="C53" t="s">
        <v>146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>
        <v>100.3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  <c r="AE53" s="33">
        <v>1642.9999999999998</v>
      </c>
      <c r="AF53" s="33">
        <v>219.4</v>
      </c>
      <c r="AG53" s="33">
        <v>112.2</v>
      </c>
      <c r="AH53" s="33">
        <v>237</v>
      </c>
      <c r="AI53" s="33">
        <v>215.2</v>
      </c>
      <c r="AJ53" s="33">
        <v>114.3</v>
      </c>
      <c r="AK53" s="33">
        <v>112.8</v>
      </c>
      <c r="AL53" s="26">
        <v>2653.9</v>
      </c>
    </row>
    <row r="54" spans="1:38" hidden="1" x14ac:dyDescent="0.35">
      <c r="A54" t="s">
        <v>54</v>
      </c>
      <c r="B54">
        <v>2014</v>
      </c>
      <c r="C54" t="s">
        <v>146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  <c r="AE54" s="33">
        <v>1666</v>
      </c>
      <c r="AF54" s="33">
        <v>220.5</v>
      </c>
      <c r="AG54" s="33">
        <v>111.5</v>
      </c>
      <c r="AH54" s="33">
        <v>230.60000000000002</v>
      </c>
      <c r="AI54" s="33">
        <v>228.2</v>
      </c>
      <c r="AJ54" s="33">
        <v>115.1</v>
      </c>
      <c r="AK54" s="33">
        <v>111.4</v>
      </c>
      <c r="AL54" s="26">
        <v>2683.2999999999997</v>
      </c>
    </row>
    <row r="55" spans="1:38" x14ac:dyDescent="0.35">
      <c r="A55" t="s">
        <v>73</v>
      </c>
      <c r="B55">
        <v>2014</v>
      </c>
      <c r="C55" t="s">
        <v>146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  <c r="AE55" s="33">
        <v>1651.5000000000002</v>
      </c>
      <c r="AF55" s="33">
        <v>219.89999999999998</v>
      </c>
      <c r="AG55" s="33">
        <v>111.8</v>
      </c>
      <c r="AH55" s="33">
        <v>234.39999999999998</v>
      </c>
      <c r="AI55" s="33">
        <v>228.5</v>
      </c>
      <c r="AJ55" s="33">
        <v>114.8</v>
      </c>
      <c r="AK55" s="33">
        <v>112.3</v>
      </c>
      <c r="AL55" s="26">
        <v>2673.2000000000003</v>
      </c>
    </row>
    <row r="56" spans="1:38" hidden="1" x14ac:dyDescent="0.35">
      <c r="A56" t="s">
        <v>30</v>
      </c>
      <c r="B56">
        <v>2014</v>
      </c>
      <c r="C56" t="s">
        <v>163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>
        <v>100.3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  <c r="AE56" s="33">
        <v>1681.2</v>
      </c>
      <c r="AF56" s="33">
        <v>220.6</v>
      </c>
      <c r="AG56" s="33">
        <v>113.2</v>
      </c>
      <c r="AH56" s="33">
        <v>239</v>
      </c>
      <c r="AI56" s="33">
        <v>215.7</v>
      </c>
      <c r="AJ56" s="33">
        <v>115.5</v>
      </c>
      <c r="AK56" s="33">
        <v>113.4</v>
      </c>
      <c r="AL56" s="26">
        <v>2698.6</v>
      </c>
    </row>
    <row r="57" spans="1:38" hidden="1" x14ac:dyDescent="0.35">
      <c r="A57" t="s">
        <v>54</v>
      </c>
      <c r="B57">
        <v>2014</v>
      </c>
      <c r="C57" t="s">
        <v>163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  <c r="AE57" s="33">
        <v>1720.5</v>
      </c>
      <c r="AF57" s="33">
        <v>222.10000000000002</v>
      </c>
      <c r="AG57" s="33">
        <v>113</v>
      </c>
      <c r="AH57" s="33">
        <v>231.6</v>
      </c>
      <c r="AI57" s="33">
        <v>229.7</v>
      </c>
      <c r="AJ57" s="33">
        <v>117.8</v>
      </c>
      <c r="AK57" s="33">
        <v>111.5</v>
      </c>
      <c r="AL57" s="26">
        <v>2746.2</v>
      </c>
    </row>
    <row r="58" spans="1:38" x14ac:dyDescent="0.35">
      <c r="A58" t="s">
        <v>73</v>
      </c>
      <c r="B58">
        <v>2014</v>
      </c>
      <c r="C58" t="s">
        <v>163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  <c r="AE58" s="33">
        <v>1695.1</v>
      </c>
      <c r="AF58" s="33">
        <v>221.3</v>
      </c>
      <c r="AG58" s="33">
        <v>113.1</v>
      </c>
      <c r="AH58" s="33">
        <v>235.89999999999998</v>
      </c>
      <c r="AI58" s="33">
        <v>230</v>
      </c>
      <c r="AJ58" s="33">
        <v>116.8</v>
      </c>
      <c r="AK58" s="33">
        <v>112.7</v>
      </c>
      <c r="AL58" s="26">
        <v>2724.8999999999996</v>
      </c>
    </row>
    <row r="59" spans="1:38" hidden="1" x14ac:dyDescent="0.35">
      <c r="A59" t="s">
        <v>30</v>
      </c>
      <c r="B59">
        <v>2014</v>
      </c>
      <c r="C59" t="s">
        <v>182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>
        <v>100.3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  <c r="AE59" s="33">
        <v>1701.0999999999997</v>
      </c>
      <c r="AF59" s="33">
        <v>221.60000000000002</v>
      </c>
      <c r="AG59" s="33">
        <v>113.2</v>
      </c>
      <c r="AH59" s="33">
        <v>239.7</v>
      </c>
      <c r="AI59" s="33">
        <v>216.2</v>
      </c>
      <c r="AJ59" s="33">
        <v>116.2</v>
      </c>
      <c r="AK59" s="33">
        <v>114</v>
      </c>
      <c r="AL59" s="26">
        <v>2721.9999999999995</v>
      </c>
    </row>
    <row r="60" spans="1:38" hidden="1" x14ac:dyDescent="0.35">
      <c r="A60" t="s">
        <v>54</v>
      </c>
      <c r="B60">
        <v>2014</v>
      </c>
      <c r="C60" t="s">
        <v>182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  <c r="AE60" s="33">
        <v>1740</v>
      </c>
      <c r="AF60" s="33">
        <v>223.4</v>
      </c>
      <c r="AG60" s="33">
        <v>112.5</v>
      </c>
      <c r="AH60" s="33">
        <v>232.7</v>
      </c>
      <c r="AI60" s="33">
        <v>230.8</v>
      </c>
      <c r="AJ60" s="33">
        <v>119.2</v>
      </c>
      <c r="AK60" s="33">
        <v>112.2</v>
      </c>
      <c r="AL60" s="26">
        <v>2770.7999999999997</v>
      </c>
    </row>
    <row r="61" spans="1:38" x14ac:dyDescent="0.35">
      <c r="A61" t="s">
        <v>73</v>
      </c>
      <c r="B61">
        <v>2014</v>
      </c>
      <c r="C61" t="s">
        <v>182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  <c r="AE61" s="33">
        <v>1714.3999999999999</v>
      </c>
      <c r="AF61" s="33">
        <v>222.5</v>
      </c>
      <c r="AG61" s="33">
        <v>112.8</v>
      </c>
      <c r="AH61" s="33">
        <v>236.8</v>
      </c>
      <c r="AI61" s="33">
        <v>231.1</v>
      </c>
      <c r="AJ61" s="33">
        <v>118</v>
      </c>
      <c r="AK61" s="33">
        <v>113.3</v>
      </c>
      <c r="AL61" s="26">
        <v>2748.9</v>
      </c>
    </row>
    <row r="62" spans="1:38" hidden="1" x14ac:dyDescent="0.35">
      <c r="A62" t="s">
        <v>30</v>
      </c>
      <c r="B62">
        <v>2014</v>
      </c>
      <c r="C62" t="s">
        <v>197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>
        <v>100.3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  <c r="AE62" s="33">
        <v>1702.7</v>
      </c>
      <c r="AF62" s="33">
        <v>221.7</v>
      </c>
      <c r="AG62" s="33">
        <v>112.8</v>
      </c>
      <c r="AH62" s="33">
        <v>240.9</v>
      </c>
      <c r="AI62" s="33">
        <v>217</v>
      </c>
      <c r="AJ62" s="33">
        <v>116.6</v>
      </c>
      <c r="AK62" s="33">
        <v>114.5</v>
      </c>
      <c r="AL62" s="26">
        <v>2726.2</v>
      </c>
    </row>
    <row r="63" spans="1:38" hidden="1" x14ac:dyDescent="0.35">
      <c r="A63" t="s">
        <v>54</v>
      </c>
      <c r="B63">
        <v>2014</v>
      </c>
      <c r="C63" t="s">
        <v>197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  <c r="AE63" s="33">
        <v>1718.0000000000002</v>
      </c>
      <c r="AF63" s="33">
        <v>223.4</v>
      </c>
      <c r="AG63" s="33">
        <v>111.2</v>
      </c>
      <c r="AH63" s="33">
        <v>233.7</v>
      </c>
      <c r="AI63" s="33">
        <v>231.6</v>
      </c>
      <c r="AJ63" s="33">
        <v>120</v>
      </c>
      <c r="AK63" s="33">
        <v>112.3</v>
      </c>
      <c r="AL63" s="26">
        <v>2750.2000000000003</v>
      </c>
    </row>
    <row r="64" spans="1:38" x14ac:dyDescent="0.35">
      <c r="A64" t="s">
        <v>73</v>
      </c>
      <c r="B64">
        <v>2014</v>
      </c>
      <c r="C64" t="s">
        <v>197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  <c r="AE64" s="33">
        <v>1706.8999999999996</v>
      </c>
      <c r="AF64" s="33">
        <v>222.6</v>
      </c>
      <c r="AG64" s="33">
        <v>112</v>
      </c>
      <c r="AH64" s="33">
        <v>237.9</v>
      </c>
      <c r="AI64" s="33">
        <v>232.2</v>
      </c>
      <c r="AJ64" s="33">
        <v>118.6</v>
      </c>
      <c r="AK64" s="33">
        <v>113.7</v>
      </c>
      <c r="AL64" s="26">
        <v>2743.8999999999992</v>
      </c>
    </row>
    <row r="65" spans="1:38" hidden="1" x14ac:dyDescent="0.35">
      <c r="A65" t="s">
        <v>30</v>
      </c>
      <c r="B65">
        <v>2014</v>
      </c>
      <c r="C65" t="s">
        <v>207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>
        <v>100.3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  <c r="AE65" s="33">
        <v>1701.1999999999998</v>
      </c>
      <c r="AF65" s="33">
        <v>222.3</v>
      </c>
      <c r="AG65" s="33">
        <v>112.6</v>
      </c>
      <c r="AH65" s="33">
        <v>243</v>
      </c>
      <c r="AI65" s="33">
        <v>217.8</v>
      </c>
      <c r="AJ65" s="33">
        <v>116.9</v>
      </c>
      <c r="AK65" s="33">
        <v>115.3</v>
      </c>
      <c r="AL65" s="26">
        <v>2729.1</v>
      </c>
    </row>
    <row r="66" spans="1:38" hidden="1" x14ac:dyDescent="0.35">
      <c r="A66" t="s">
        <v>54</v>
      </c>
      <c r="B66">
        <v>2014</v>
      </c>
      <c r="C66" t="s">
        <v>207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  <c r="AE66" s="33">
        <v>1711.8</v>
      </c>
      <c r="AF66" s="33">
        <v>223.7</v>
      </c>
      <c r="AG66" s="33">
        <v>111</v>
      </c>
      <c r="AH66" s="33">
        <v>234.5</v>
      </c>
      <c r="AI66" s="33">
        <v>232.5</v>
      </c>
      <c r="AJ66" s="33">
        <v>120.2</v>
      </c>
      <c r="AK66" s="33">
        <v>112.6</v>
      </c>
      <c r="AL66" s="26">
        <v>2746.2999999999997</v>
      </c>
    </row>
    <row r="67" spans="1:38" x14ac:dyDescent="0.35">
      <c r="A67" t="s">
        <v>73</v>
      </c>
      <c r="B67">
        <v>2014</v>
      </c>
      <c r="C67" t="s">
        <v>207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  <c r="AE67" s="33">
        <v>1703.8</v>
      </c>
      <c r="AF67" s="33">
        <v>222.89999999999998</v>
      </c>
      <c r="AG67" s="33">
        <v>111.8</v>
      </c>
      <c r="AH67" s="33">
        <v>239.6</v>
      </c>
      <c r="AI67" s="33">
        <v>233.4</v>
      </c>
      <c r="AJ67" s="33">
        <v>118.8</v>
      </c>
      <c r="AK67" s="33">
        <v>114.3</v>
      </c>
      <c r="AL67" s="26">
        <v>2744.6000000000004</v>
      </c>
    </row>
    <row r="68" spans="1:38" hidden="1" x14ac:dyDescent="0.35">
      <c r="A68" t="s">
        <v>30</v>
      </c>
      <c r="B68">
        <v>2014</v>
      </c>
      <c r="C68" t="s">
        <v>233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>
        <v>100.3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  <c r="AE68" s="33">
        <v>1702.8</v>
      </c>
      <c r="AF68" s="33">
        <v>222.1</v>
      </c>
      <c r="AG68" s="33">
        <v>112</v>
      </c>
      <c r="AH68" s="33">
        <v>243.8</v>
      </c>
      <c r="AI68" s="33">
        <v>218.39999999999998</v>
      </c>
      <c r="AJ68" s="33">
        <v>117.2</v>
      </c>
      <c r="AK68" s="33">
        <v>115.9</v>
      </c>
      <c r="AL68" s="26">
        <v>2732.2</v>
      </c>
    </row>
    <row r="69" spans="1:38" hidden="1" x14ac:dyDescent="0.35">
      <c r="A69" t="s">
        <v>54</v>
      </c>
      <c r="B69">
        <v>2014</v>
      </c>
      <c r="C69" t="s">
        <v>233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  <c r="AE69" s="33">
        <v>1713.6</v>
      </c>
      <c r="AF69" s="33">
        <v>223.6</v>
      </c>
      <c r="AG69" s="33">
        <v>109.7</v>
      </c>
      <c r="AH69" s="33">
        <v>235.7</v>
      </c>
      <c r="AI69" s="33">
        <v>233.5</v>
      </c>
      <c r="AJ69" s="33">
        <v>120.3</v>
      </c>
      <c r="AK69" s="33">
        <v>113</v>
      </c>
      <c r="AL69" s="26">
        <v>2749.4</v>
      </c>
    </row>
    <row r="70" spans="1:38" x14ac:dyDescent="0.35">
      <c r="A70" t="s">
        <v>73</v>
      </c>
      <c r="B70">
        <v>2014</v>
      </c>
      <c r="C70" t="s">
        <v>233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  <c r="AE70" s="33">
        <v>1705.3</v>
      </c>
      <c r="AF70" s="33">
        <v>222.8</v>
      </c>
      <c r="AG70" s="33">
        <v>110.8</v>
      </c>
      <c r="AH70" s="33">
        <v>240.5</v>
      </c>
      <c r="AI70" s="33">
        <v>234.39999999999998</v>
      </c>
      <c r="AJ70" s="33">
        <v>119</v>
      </c>
      <c r="AK70" s="33">
        <v>114.8</v>
      </c>
      <c r="AL70" s="26">
        <v>2747.6</v>
      </c>
    </row>
    <row r="71" spans="1:38" hidden="1" x14ac:dyDescent="0.35">
      <c r="A71" t="s">
        <v>30</v>
      </c>
      <c r="B71">
        <v>2014</v>
      </c>
      <c r="C71" t="s">
        <v>242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>
        <v>100.3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  <c r="AE71" s="33">
        <v>1691.3</v>
      </c>
      <c r="AF71" s="33">
        <v>222.7</v>
      </c>
      <c r="AG71" s="33">
        <v>111.5</v>
      </c>
      <c r="AH71" s="33">
        <v>244.39999999999998</v>
      </c>
      <c r="AI71" s="33">
        <v>218.5</v>
      </c>
      <c r="AJ71" s="33">
        <v>117.7</v>
      </c>
      <c r="AK71" s="33">
        <v>116.2</v>
      </c>
      <c r="AL71" s="26">
        <v>2722.2999999999997</v>
      </c>
    </row>
    <row r="72" spans="1:38" hidden="1" x14ac:dyDescent="0.35">
      <c r="A72" t="s">
        <v>54</v>
      </c>
      <c r="B72">
        <v>2014</v>
      </c>
      <c r="C72" t="s">
        <v>242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  <c r="AE72" s="33">
        <v>1703.6</v>
      </c>
      <c r="AF72" s="33">
        <v>224.7</v>
      </c>
      <c r="AG72" s="33">
        <v>108.8</v>
      </c>
      <c r="AH72" s="33">
        <v>236.5</v>
      </c>
      <c r="AI72" s="33">
        <v>233.3</v>
      </c>
      <c r="AJ72" s="33">
        <v>120.7</v>
      </c>
      <c r="AK72" s="33">
        <v>113.2</v>
      </c>
      <c r="AL72" s="26">
        <v>2740.7999999999997</v>
      </c>
    </row>
    <row r="73" spans="1:38" x14ac:dyDescent="0.35">
      <c r="A73" t="s">
        <v>73</v>
      </c>
      <c r="B73">
        <v>2014</v>
      </c>
      <c r="C73" t="s">
        <v>242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  <c r="AE73" s="33">
        <v>1694.6999999999998</v>
      </c>
      <c r="AF73" s="33">
        <v>223.7</v>
      </c>
      <c r="AG73" s="33">
        <v>110.1</v>
      </c>
      <c r="AH73" s="33">
        <v>241.2</v>
      </c>
      <c r="AI73" s="33">
        <v>234</v>
      </c>
      <c r="AJ73" s="33">
        <v>119.5</v>
      </c>
      <c r="AK73" s="33">
        <v>115.1</v>
      </c>
      <c r="AL73" s="26">
        <v>2738.2999999999997</v>
      </c>
    </row>
    <row r="74" spans="1:38" hidden="1" x14ac:dyDescent="0.3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>
        <v>100.3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  <c r="AE74" s="33">
        <v>1690.8</v>
      </c>
      <c r="AF74" s="33">
        <v>224.2</v>
      </c>
      <c r="AG74" s="33">
        <v>111</v>
      </c>
      <c r="AH74" s="33">
        <v>246</v>
      </c>
      <c r="AI74" s="33">
        <v>219.2</v>
      </c>
      <c r="AJ74" s="33">
        <v>118.2</v>
      </c>
      <c r="AK74" s="33">
        <v>116.6</v>
      </c>
      <c r="AL74" s="26">
        <v>2725.9999999999995</v>
      </c>
    </row>
    <row r="75" spans="1:38" hidden="1" x14ac:dyDescent="0.35">
      <c r="A75" t="s">
        <v>54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  <c r="AE75" s="33">
        <v>1702.3</v>
      </c>
      <c r="AF75" s="33">
        <v>226</v>
      </c>
      <c r="AG75" s="33">
        <v>107.9</v>
      </c>
      <c r="AH75" s="33">
        <v>237.1</v>
      </c>
      <c r="AI75" s="33">
        <v>234.5</v>
      </c>
      <c r="AJ75" s="33">
        <v>120.8</v>
      </c>
      <c r="AK75" s="33">
        <v>113.7</v>
      </c>
      <c r="AL75" s="26">
        <v>2742.3</v>
      </c>
    </row>
    <row r="76" spans="1:38" x14ac:dyDescent="0.35">
      <c r="A76" t="s">
        <v>73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  <c r="AE76" s="33">
        <v>1693.3</v>
      </c>
      <c r="AF76" s="33">
        <v>225</v>
      </c>
      <c r="AG76" s="33">
        <v>109.4</v>
      </c>
      <c r="AH76" s="33">
        <v>242.39999999999998</v>
      </c>
      <c r="AI76" s="33">
        <v>235.39999999999998</v>
      </c>
      <c r="AJ76" s="33">
        <v>119.7</v>
      </c>
      <c r="AK76" s="33">
        <v>115.5</v>
      </c>
      <c r="AL76" s="26">
        <v>2740.7</v>
      </c>
    </row>
    <row r="77" spans="1:38" hidden="1" x14ac:dyDescent="0.35">
      <c r="A77" t="s">
        <v>30</v>
      </c>
      <c r="B77">
        <v>2015</v>
      </c>
      <c r="C77" t="s">
        <v>85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>
        <v>100.3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  <c r="AE77" s="33">
        <v>1694.7999999999997</v>
      </c>
      <c r="AF77" s="33">
        <v>225.6</v>
      </c>
      <c r="AG77" s="33">
        <v>110.9</v>
      </c>
      <c r="AH77" s="33">
        <v>248.10000000000002</v>
      </c>
      <c r="AI77" s="33">
        <v>219.89999999999998</v>
      </c>
      <c r="AJ77" s="33">
        <v>118.7</v>
      </c>
      <c r="AK77" s="33">
        <v>117.7</v>
      </c>
      <c r="AL77" s="26">
        <v>2735.6999999999994</v>
      </c>
    </row>
    <row r="78" spans="1:38" hidden="1" x14ac:dyDescent="0.35">
      <c r="A78" t="s">
        <v>54</v>
      </c>
      <c r="B78">
        <v>2015</v>
      </c>
      <c r="C78" t="s">
        <v>85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  <c r="AE78" s="33">
        <v>1699.2</v>
      </c>
      <c r="AF78" s="33">
        <v>226.60000000000002</v>
      </c>
      <c r="AG78" s="33">
        <v>106.8</v>
      </c>
      <c r="AH78" s="33">
        <v>237.8</v>
      </c>
      <c r="AI78" s="33">
        <v>235.8</v>
      </c>
      <c r="AJ78" s="33">
        <v>120.4</v>
      </c>
      <c r="AK78" s="33">
        <v>114.1</v>
      </c>
      <c r="AL78" s="26">
        <v>2740.7000000000003</v>
      </c>
    </row>
    <row r="79" spans="1:38" x14ac:dyDescent="0.35">
      <c r="A79" t="s">
        <v>73</v>
      </c>
      <c r="B79">
        <v>2015</v>
      </c>
      <c r="C79" t="s">
        <v>85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  <c r="AE79" s="33">
        <v>1694.5999999999997</v>
      </c>
      <c r="AF79" s="33">
        <v>226.10000000000002</v>
      </c>
      <c r="AG79" s="33">
        <v>108.7</v>
      </c>
      <c r="AH79" s="33">
        <v>243.89999999999998</v>
      </c>
      <c r="AI79" s="33">
        <v>236.8</v>
      </c>
      <c r="AJ79" s="33">
        <v>119.7</v>
      </c>
      <c r="AK79" s="33">
        <v>116.3</v>
      </c>
      <c r="AL79" s="26">
        <v>2746.1</v>
      </c>
    </row>
    <row r="80" spans="1:38" hidden="1" x14ac:dyDescent="0.35">
      <c r="A80" t="s">
        <v>30</v>
      </c>
      <c r="B80">
        <v>2015</v>
      </c>
      <c r="C80" t="s">
        <v>107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>
        <v>100.3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  <c r="AE80" s="33">
        <v>1696.2</v>
      </c>
      <c r="AF80" s="33">
        <v>226.3</v>
      </c>
      <c r="AG80" s="33">
        <v>111.6</v>
      </c>
      <c r="AH80" s="33">
        <v>248.9</v>
      </c>
      <c r="AI80" s="33">
        <v>220.5</v>
      </c>
      <c r="AJ80" s="33">
        <v>119.4</v>
      </c>
      <c r="AK80" s="33">
        <v>118.2</v>
      </c>
      <c r="AL80" s="26">
        <v>2741.1</v>
      </c>
    </row>
    <row r="81" spans="1:38" hidden="1" x14ac:dyDescent="0.35">
      <c r="A81" t="s">
        <v>54</v>
      </c>
      <c r="B81">
        <v>2015</v>
      </c>
      <c r="C81" t="s">
        <v>107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  <c r="AE81" s="33">
        <v>1696.8000000000002</v>
      </c>
      <c r="AF81" s="33">
        <v>226.7</v>
      </c>
      <c r="AG81" s="33">
        <v>108.4</v>
      </c>
      <c r="AH81" s="33">
        <v>238.60000000000002</v>
      </c>
      <c r="AI81" s="33">
        <v>236.6</v>
      </c>
      <c r="AJ81" s="33">
        <v>120.6</v>
      </c>
      <c r="AK81" s="33">
        <v>114.3</v>
      </c>
      <c r="AL81" s="26">
        <v>2742.0000000000005</v>
      </c>
    </row>
    <row r="82" spans="1:38" x14ac:dyDescent="0.35">
      <c r="A82" t="s">
        <v>73</v>
      </c>
      <c r="B82">
        <v>2015</v>
      </c>
      <c r="C82" t="s">
        <v>107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  <c r="AE82" s="33">
        <v>1694.8999999999999</v>
      </c>
      <c r="AF82" s="33">
        <v>226.4</v>
      </c>
      <c r="AG82" s="33">
        <v>109.9</v>
      </c>
      <c r="AH82" s="33">
        <v>244.7</v>
      </c>
      <c r="AI82" s="33">
        <v>237.8</v>
      </c>
      <c r="AJ82" s="33">
        <v>120.1</v>
      </c>
      <c r="AK82" s="33">
        <v>116.7</v>
      </c>
      <c r="AL82" s="26">
        <v>2750.5</v>
      </c>
    </row>
    <row r="83" spans="1:38" hidden="1" x14ac:dyDescent="0.35">
      <c r="A83" t="s">
        <v>30</v>
      </c>
      <c r="B83">
        <v>2015</v>
      </c>
      <c r="C83" t="s">
        <v>123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>
        <v>100.3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  <c r="AE83" s="33">
        <v>1702.9</v>
      </c>
      <c r="AF83" s="33">
        <v>227.8</v>
      </c>
      <c r="AG83" s="33">
        <v>111.9</v>
      </c>
      <c r="AH83" s="33">
        <v>249.7</v>
      </c>
      <c r="AI83" s="33">
        <v>221.2</v>
      </c>
      <c r="AJ83" s="33">
        <v>119.9</v>
      </c>
      <c r="AK83" s="33">
        <v>118.6</v>
      </c>
      <c r="AL83" s="26">
        <v>2752</v>
      </c>
    </row>
    <row r="84" spans="1:38" hidden="1" x14ac:dyDescent="0.35">
      <c r="A84" t="s">
        <v>54</v>
      </c>
      <c r="B84">
        <v>2015</v>
      </c>
      <c r="C84" t="s">
        <v>123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  <c r="AE84" s="33">
        <v>1706.1999999999998</v>
      </c>
      <c r="AF84" s="33">
        <v>227.39999999999998</v>
      </c>
      <c r="AG84" s="33">
        <v>108.4</v>
      </c>
      <c r="AH84" s="33">
        <v>239.3</v>
      </c>
      <c r="AI84" s="33">
        <v>237.60000000000002</v>
      </c>
      <c r="AJ84" s="33">
        <v>121.7</v>
      </c>
      <c r="AK84" s="33">
        <v>114.6</v>
      </c>
      <c r="AL84" s="26">
        <v>2755.2</v>
      </c>
    </row>
    <row r="85" spans="1:38" x14ac:dyDescent="0.35">
      <c r="A85" t="s">
        <v>73</v>
      </c>
      <c r="B85">
        <v>2015</v>
      </c>
      <c r="C85" t="s">
        <v>123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  <c r="AE85" s="33">
        <v>1702.6000000000001</v>
      </c>
      <c r="AF85" s="33">
        <v>227.60000000000002</v>
      </c>
      <c r="AG85" s="33">
        <v>110.1</v>
      </c>
      <c r="AH85" s="33">
        <v>245.5</v>
      </c>
      <c r="AI85" s="33">
        <v>238.9</v>
      </c>
      <c r="AJ85" s="33">
        <v>121</v>
      </c>
      <c r="AK85" s="33">
        <v>117.1</v>
      </c>
      <c r="AL85" s="26">
        <v>2762.8</v>
      </c>
    </row>
    <row r="86" spans="1:38" hidden="1" x14ac:dyDescent="0.35">
      <c r="A86" t="s">
        <v>30</v>
      </c>
      <c r="B86">
        <v>2015</v>
      </c>
      <c r="C86" t="s">
        <v>136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>
        <v>100.3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  <c r="AE86" s="33">
        <v>1714.4</v>
      </c>
      <c r="AF86" s="33">
        <v>229</v>
      </c>
      <c r="AG86" s="33">
        <v>113.3</v>
      </c>
      <c r="AH86" s="33">
        <v>251.39999999999998</v>
      </c>
      <c r="AI86" s="33">
        <v>221.8</v>
      </c>
      <c r="AJ86" s="33">
        <v>120.5</v>
      </c>
      <c r="AK86" s="33">
        <v>119.4</v>
      </c>
      <c r="AL86" s="26">
        <v>2769.8000000000006</v>
      </c>
    </row>
    <row r="87" spans="1:38" hidden="1" x14ac:dyDescent="0.35">
      <c r="A87" t="s">
        <v>54</v>
      </c>
      <c r="B87">
        <v>2015</v>
      </c>
      <c r="C87" t="s">
        <v>136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  <c r="AE87" s="33">
        <v>1730.2</v>
      </c>
      <c r="AF87" s="33">
        <v>228.4</v>
      </c>
      <c r="AG87" s="33">
        <v>110.8</v>
      </c>
      <c r="AH87" s="33">
        <v>239.8</v>
      </c>
      <c r="AI87" s="33">
        <v>238.3</v>
      </c>
      <c r="AJ87" s="33">
        <v>122</v>
      </c>
      <c r="AK87" s="33">
        <v>114.9</v>
      </c>
      <c r="AL87" s="26">
        <v>2784.4000000000005</v>
      </c>
    </row>
    <row r="88" spans="1:38" x14ac:dyDescent="0.35">
      <c r="A88" t="s">
        <v>73</v>
      </c>
      <c r="B88">
        <v>2015</v>
      </c>
      <c r="C88" t="s">
        <v>136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  <c r="AE88" s="33">
        <v>1718.3000000000002</v>
      </c>
      <c r="AF88" s="33">
        <v>228.6</v>
      </c>
      <c r="AG88" s="33">
        <v>112</v>
      </c>
      <c r="AH88" s="33">
        <v>246.7</v>
      </c>
      <c r="AI88" s="33">
        <v>239.8</v>
      </c>
      <c r="AJ88" s="33">
        <v>121.4</v>
      </c>
      <c r="AK88" s="33">
        <v>117.7</v>
      </c>
      <c r="AL88" s="26">
        <v>2784.5</v>
      </c>
    </row>
    <row r="89" spans="1:38" hidden="1" x14ac:dyDescent="0.35">
      <c r="A89" t="s">
        <v>30</v>
      </c>
      <c r="B89">
        <v>2015</v>
      </c>
      <c r="C89" t="s">
        <v>146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>
        <v>100.3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  <c r="AE89" s="33">
        <v>1746.1</v>
      </c>
      <c r="AF89" s="33">
        <v>230.9</v>
      </c>
      <c r="AG89" s="33">
        <v>114.2</v>
      </c>
      <c r="AH89" s="33">
        <v>253.5</v>
      </c>
      <c r="AI89" s="33">
        <v>223.1</v>
      </c>
      <c r="AJ89" s="33">
        <v>122</v>
      </c>
      <c r="AK89" s="33">
        <v>120.4</v>
      </c>
      <c r="AL89" s="26">
        <v>2810.2</v>
      </c>
    </row>
    <row r="90" spans="1:38" hidden="1" x14ac:dyDescent="0.35">
      <c r="A90" t="s">
        <v>54</v>
      </c>
      <c r="B90">
        <v>2015</v>
      </c>
      <c r="C90" t="s">
        <v>146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  <c r="AE90" s="33">
        <v>1768.6999999999998</v>
      </c>
      <c r="AF90" s="33">
        <v>228.7</v>
      </c>
      <c r="AG90" s="33">
        <v>111.7</v>
      </c>
      <c r="AH90" s="33">
        <v>240.8</v>
      </c>
      <c r="AI90" s="33">
        <v>238.2</v>
      </c>
      <c r="AJ90" s="33">
        <v>123.8</v>
      </c>
      <c r="AK90" s="33">
        <v>115.4</v>
      </c>
      <c r="AL90" s="26">
        <v>2827.3</v>
      </c>
    </row>
    <row r="91" spans="1:38" x14ac:dyDescent="0.35">
      <c r="A91" t="s">
        <v>73</v>
      </c>
      <c r="B91">
        <v>2015</v>
      </c>
      <c r="C91" t="s">
        <v>146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  <c r="AE91" s="33">
        <v>1752.7</v>
      </c>
      <c r="AF91" s="33">
        <v>229.7</v>
      </c>
      <c r="AG91" s="33">
        <v>112.9</v>
      </c>
      <c r="AH91" s="33">
        <v>248.4</v>
      </c>
      <c r="AI91" s="33">
        <v>240.1</v>
      </c>
      <c r="AJ91" s="33">
        <v>123.1</v>
      </c>
      <c r="AK91" s="33">
        <v>118.5</v>
      </c>
      <c r="AL91" s="26">
        <v>2825.4</v>
      </c>
    </row>
    <row r="92" spans="1:38" hidden="1" x14ac:dyDescent="0.35">
      <c r="A92" t="s">
        <v>30</v>
      </c>
      <c r="B92">
        <v>2015</v>
      </c>
      <c r="C92" t="s">
        <v>163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>
        <v>100.3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  <c r="AE92" s="33">
        <v>1754.7</v>
      </c>
      <c r="AF92" s="33">
        <v>230.7</v>
      </c>
      <c r="AG92" s="33">
        <v>114.1</v>
      </c>
      <c r="AH92" s="33">
        <v>254.3</v>
      </c>
      <c r="AI92" s="33">
        <v>223.3</v>
      </c>
      <c r="AJ92" s="33">
        <v>122.9</v>
      </c>
      <c r="AK92" s="33">
        <v>120.8</v>
      </c>
      <c r="AL92" s="26">
        <v>2820.8000000000006</v>
      </c>
    </row>
    <row r="93" spans="1:38" hidden="1" x14ac:dyDescent="0.35">
      <c r="A93" t="s">
        <v>54</v>
      </c>
      <c r="B93">
        <v>2015</v>
      </c>
      <c r="C93" t="s">
        <v>163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  <c r="AE93" s="33">
        <v>1775.9999999999998</v>
      </c>
      <c r="AF93" s="33">
        <v>228.3</v>
      </c>
      <c r="AG93" s="33">
        <v>111.5</v>
      </c>
      <c r="AH93" s="33">
        <v>241.4</v>
      </c>
      <c r="AI93" s="33">
        <v>239.4</v>
      </c>
      <c r="AJ93" s="33">
        <v>125.4</v>
      </c>
      <c r="AK93" s="33">
        <v>116</v>
      </c>
      <c r="AL93" s="26">
        <v>2838</v>
      </c>
    </row>
    <row r="94" spans="1:38" x14ac:dyDescent="0.35">
      <c r="A94" t="s">
        <v>73</v>
      </c>
      <c r="B94">
        <v>2015</v>
      </c>
      <c r="C94" t="s">
        <v>163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  <c r="AE94" s="33">
        <v>1761.0000000000002</v>
      </c>
      <c r="AF94" s="33">
        <v>229.5</v>
      </c>
      <c r="AG94" s="33">
        <v>112.7</v>
      </c>
      <c r="AH94" s="33">
        <v>249</v>
      </c>
      <c r="AI94" s="33">
        <v>241.2</v>
      </c>
      <c r="AJ94" s="33">
        <v>124.4</v>
      </c>
      <c r="AK94" s="33">
        <v>119</v>
      </c>
      <c r="AL94" s="26">
        <v>2836.8</v>
      </c>
    </row>
    <row r="95" spans="1:38" hidden="1" x14ac:dyDescent="0.35">
      <c r="A95" t="s">
        <v>30</v>
      </c>
      <c r="B95">
        <v>2015</v>
      </c>
      <c r="C95" t="s">
        <v>182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>
        <v>100.3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  <c r="AE95" s="33">
        <v>1776.6999999999998</v>
      </c>
      <c r="AF95" s="33">
        <v>231</v>
      </c>
      <c r="AG95" s="33">
        <v>113.6</v>
      </c>
      <c r="AH95" s="33">
        <v>255.8</v>
      </c>
      <c r="AI95" s="33">
        <v>224</v>
      </c>
      <c r="AJ95" s="33">
        <v>123.6</v>
      </c>
      <c r="AK95" s="33">
        <v>121.1</v>
      </c>
      <c r="AL95" s="26">
        <v>2845.7999999999997</v>
      </c>
    </row>
    <row r="96" spans="1:38" hidden="1" x14ac:dyDescent="0.35">
      <c r="A96" t="s">
        <v>54</v>
      </c>
      <c r="B96">
        <v>2015</v>
      </c>
      <c r="C96" t="s">
        <v>182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  <c r="AE96" s="33">
        <v>1793.1</v>
      </c>
      <c r="AF96" s="33">
        <v>229.2</v>
      </c>
      <c r="AG96" s="33">
        <v>109.9</v>
      </c>
      <c r="AH96" s="33">
        <v>241.9</v>
      </c>
      <c r="AI96" s="33">
        <v>240.9</v>
      </c>
      <c r="AJ96" s="33">
        <v>126.2</v>
      </c>
      <c r="AK96" s="33">
        <v>116.6</v>
      </c>
      <c r="AL96" s="26">
        <v>2857.7999999999997</v>
      </c>
    </row>
    <row r="97" spans="1:38" x14ac:dyDescent="0.35">
      <c r="A97" t="s">
        <v>73</v>
      </c>
      <c r="B97">
        <v>2015</v>
      </c>
      <c r="C97" t="s">
        <v>182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  <c r="AE97" s="33">
        <v>1780.8</v>
      </c>
      <c r="AF97" s="33">
        <v>230.1</v>
      </c>
      <c r="AG97" s="33">
        <v>111.7</v>
      </c>
      <c r="AH97" s="33">
        <v>250.10000000000002</v>
      </c>
      <c r="AI97" s="33">
        <v>242.9</v>
      </c>
      <c r="AJ97" s="33">
        <v>125.1</v>
      </c>
      <c r="AK97" s="33">
        <v>119.4</v>
      </c>
      <c r="AL97" s="26">
        <v>2860.1</v>
      </c>
    </row>
    <row r="98" spans="1:38" hidden="1" x14ac:dyDescent="0.35">
      <c r="A98" t="s">
        <v>30</v>
      </c>
      <c r="B98">
        <v>2015</v>
      </c>
      <c r="C98" t="s">
        <v>197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>
        <v>100.3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  <c r="AE98" s="33">
        <v>1788.6000000000001</v>
      </c>
      <c r="AF98" s="33">
        <v>233.3</v>
      </c>
      <c r="AG98" s="33">
        <v>113.8</v>
      </c>
      <c r="AH98" s="33">
        <v>257.2</v>
      </c>
      <c r="AI98" s="33">
        <v>224.8</v>
      </c>
      <c r="AJ98" s="33">
        <v>124.5</v>
      </c>
      <c r="AK98" s="33">
        <v>121.4</v>
      </c>
      <c r="AL98" s="26">
        <v>2863.6000000000004</v>
      </c>
    </row>
    <row r="99" spans="1:38" hidden="1" x14ac:dyDescent="0.35">
      <c r="A99" t="s">
        <v>54</v>
      </c>
      <c r="B99">
        <v>2015</v>
      </c>
      <c r="C99" t="s">
        <v>197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  <c r="AE99" s="33">
        <v>1799.5</v>
      </c>
      <c r="AF99" s="33">
        <v>230.2</v>
      </c>
      <c r="AG99" s="33">
        <v>109.1</v>
      </c>
      <c r="AH99" s="33">
        <v>242.6</v>
      </c>
      <c r="AI99" s="33">
        <v>242</v>
      </c>
      <c r="AJ99" s="33">
        <v>126.5</v>
      </c>
      <c r="AK99" s="33">
        <v>117.1</v>
      </c>
      <c r="AL99" s="26">
        <v>2867</v>
      </c>
    </row>
    <row r="100" spans="1:38" x14ac:dyDescent="0.35">
      <c r="A100" t="s">
        <v>73</v>
      </c>
      <c r="B100">
        <v>2015</v>
      </c>
      <c r="C100" t="s">
        <v>197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  <c r="AE100" s="33">
        <v>1790.3000000000002</v>
      </c>
      <c r="AF100" s="33">
        <v>231.7</v>
      </c>
      <c r="AG100" s="33">
        <v>111.3</v>
      </c>
      <c r="AH100" s="33">
        <v>251.3</v>
      </c>
      <c r="AI100" s="33">
        <v>244.2</v>
      </c>
      <c r="AJ100" s="33">
        <v>125.7</v>
      </c>
      <c r="AK100" s="33">
        <v>119.8</v>
      </c>
      <c r="AL100" s="26">
        <v>2874.3</v>
      </c>
    </row>
    <row r="101" spans="1:38" hidden="1" x14ac:dyDescent="0.35">
      <c r="A101" t="s">
        <v>30</v>
      </c>
      <c r="B101">
        <v>2015</v>
      </c>
      <c r="C101" t="s">
        <v>207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>
        <v>100.3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  <c r="AE101" s="33">
        <v>1806.1</v>
      </c>
      <c r="AF101" s="33">
        <v>234.3</v>
      </c>
      <c r="AG101" s="33">
        <v>113.8</v>
      </c>
      <c r="AH101" s="33">
        <v>258.39999999999998</v>
      </c>
      <c r="AI101" s="33">
        <v>225.39999999999998</v>
      </c>
      <c r="AJ101" s="33">
        <v>125.1</v>
      </c>
      <c r="AK101" s="33">
        <v>122</v>
      </c>
      <c r="AL101" s="26">
        <v>2885.1</v>
      </c>
    </row>
    <row r="102" spans="1:38" hidden="1" x14ac:dyDescent="0.35">
      <c r="A102" t="s">
        <v>54</v>
      </c>
      <c r="B102">
        <v>2015</v>
      </c>
      <c r="C102" t="s">
        <v>207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  <c r="AE102" s="33">
        <v>1828.1000000000001</v>
      </c>
      <c r="AF102" s="33">
        <v>231.2</v>
      </c>
      <c r="AG102" s="33">
        <v>109.3</v>
      </c>
      <c r="AH102" s="33">
        <v>243.2</v>
      </c>
      <c r="AI102" s="33">
        <v>243.10000000000002</v>
      </c>
      <c r="AJ102" s="33">
        <v>126.5</v>
      </c>
      <c r="AK102" s="33">
        <v>117.7</v>
      </c>
      <c r="AL102" s="26">
        <v>2899.1</v>
      </c>
    </row>
    <row r="103" spans="1:38" x14ac:dyDescent="0.35">
      <c r="A103" t="s">
        <v>73</v>
      </c>
      <c r="B103">
        <v>2015</v>
      </c>
      <c r="C103" t="s">
        <v>207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  <c r="AE103" s="33">
        <v>1811.4999999999998</v>
      </c>
      <c r="AF103" s="33">
        <v>232.60000000000002</v>
      </c>
      <c r="AG103" s="33">
        <v>111.4</v>
      </c>
      <c r="AH103" s="33">
        <v>252.3</v>
      </c>
      <c r="AI103" s="33">
        <v>245.4</v>
      </c>
      <c r="AJ103" s="33">
        <v>125.9</v>
      </c>
      <c r="AK103" s="33">
        <v>120.4</v>
      </c>
      <c r="AL103" s="26">
        <v>2899.5000000000005</v>
      </c>
    </row>
    <row r="104" spans="1:38" hidden="1" x14ac:dyDescent="0.35">
      <c r="A104" t="s">
        <v>30</v>
      </c>
      <c r="B104">
        <v>2015</v>
      </c>
      <c r="C104" t="s">
        <v>233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>
        <v>100.3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  <c r="AE104" s="33">
        <v>1818.5</v>
      </c>
      <c r="AF104" s="33">
        <v>235.10000000000002</v>
      </c>
      <c r="AG104" s="33">
        <v>114</v>
      </c>
      <c r="AH104" s="33">
        <v>260.29999999999995</v>
      </c>
      <c r="AI104" s="33">
        <v>225.89999999999998</v>
      </c>
      <c r="AJ104" s="33">
        <v>125.8</v>
      </c>
      <c r="AK104" s="33">
        <v>122.6</v>
      </c>
      <c r="AL104" s="26">
        <v>2902.2</v>
      </c>
    </row>
    <row r="105" spans="1:38" hidden="1" x14ac:dyDescent="0.35">
      <c r="A105" t="s">
        <v>54</v>
      </c>
      <c r="B105">
        <v>2015</v>
      </c>
      <c r="C105" t="s">
        <v>233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  <c r="AE105" s="33">
        <v>1846.0999999999997</v>
      </c>
      <c r="AF105" s="33">
        <v>231.2</v>
      </c>
      <c r="AG105" s="33">
        <v>109.3</v>
      </c>
      <c r="AH105" s="33">
        <v>244.3</v>
      </c>
      <c r="AI105" s="33">
        <v>243.9</v>
      </c>
      <c r="AJ105" s="33">
        <v>126.6</v>
      </c>
      <c r="AK105" s="33">
        <v>118.1</v>
      </c>
      <c r="AL105" s="26">
        <v>2919.5</v>
      </c>
    </row>
    <row r="106" spans="1:38" x14ac:dyDescent="0.35">
      <c r="A106" t="s">
        <v>73</v>
      </c>
      <c r="B106">
        <v>2015</v>
      </c>
      <c r="C106" t="s">
        <v>233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  <c r="AE106" s="33">
        <v>1825.6999999999998</v>
      </c>
      <c r="AF106" s="33">
        <v>233</v>
      </c>
      <c r="AG106" s="33">
        <v>111.5</v>
      </c>
      <c r="AH106" s="33">
        <v>253.8</v>
      </c>
      <c r="AI106" s="33">
        <v>246.3</v>
      </c>
      <c r="AJ106" s="33">
        <v>126.3</v>
      </c>
      <c r="AK106" s="33">
        <v>120.9</v>
      </c>
      <c r="AL106" s="26">
        <v>2917.5000000000005</v>
      </c>
    </row>
    <row r="107" spans="1:38" hidden="1" x14ac:dyDescent="0.35">
      <c r="A107" t="s">
        <v>30</v>
      </c>
      <c r="B107">
        <v>2015</v>
      </c>
      <c r="C107" t="s">
        <v>242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>
        <v>100.3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  <c r="AE107" s="33">
        <v>1815.4</v>
      </c>
      <c r="AF107" s="33">
        <v>235.7</v>
      </c>
      <c r="AG107" s="33">
        <v>114</v>
      </c>
      <c r="AH107" s="33">
        <v>261</v>
      </c>
      <c r="AI107" s="33">
        <v>226.3</v>
      </c>
      <c r="AJ107" s="33">
        <v>125.6</v>
      </c>
      <c r="AK107" s="33">
        <v>123.1</v>
      </c>
      <c r="AL107" s="26">
        <v>2901.1</v>
      </c>
    </row>
    <row r="108" spans="1:38" hidden="1" x14ac:dyDescent="0.35">
      <c r="A108" t="s">
        <v>54</v>
      </c>
      <c r="B108">
        <v>2015</v>
      </c>
      <c r="C108" t="s">
        <v>242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  <c r="AE108" s="33">
        <v>1837</v>
      </c>
      <c r="AF108" s="33">
        <v>231.3</v>
      </c>
      <c r="AG108" s="33">
        <v>109.3</v>
      </c>
      <c r="AH108" s="33">
        <v>244.9</v>
      </c>
      <c r="AI108" s="33">
        <v>243.4</v>
      </c>
      <c r="AJ108" s="33">
        <v>126.6</v>
      </c>
      <c r="AK108" s="33">
        <v>118.6</v>
      </c>
      <c r="AL108" s="26">
        <v>2911.1000000000004</v>
      </c>
    </row>
    <row r="109" spans="1:38" x14ac:dyDescent="0.35">
      <c r="A109" t="s">
        <v>73</v>
      </c>
      <c r="B109">
        <v>2015</v>
      </c>
      <c r="C109" t="s">
        <v>242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  <c r="AE109" s="33">
        <v>1820.6000000000001</v>
      </c>
      <c r="AF109" s="33">
        <v>233.3</v>
      </c>
      <c r="AG109" s="33">
        <v>111.5</v>
      </c>
      <c r="AH109" s="33">
        <v>254.5</v>
      </c>
      <c r="AI109" s="33">
        <v>246</v>
      </c>
      <c r="AJ109" s="33">
        <v>126.2</v>
      </c>
      <c r="AK109" s="33">
        <v>121.4</v>
      </c>
      <c r="AL109" s="26">
        <v>2913.5</v>
      </c>
    </row>
    <row r="110" spans="1:38" hidden="1" x14ac:dyDescent="0.3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>
        <v>100.3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  <c r="AE110" s="33">
        <v>1823.7</v>
      </c>
      <c r="AF110" s="33">
        <v>236.3</v>
      </c>
      <c r="AG110" s="33">
        <v>113.6</v>
      </c>
      <c r="AH110" s="33">
        <v>262.10000000000002</v>
      </c>
      <c r="AI110" s="33">
        <v>226.89999999999998</v>
      </c>
      <c r="AJ110" s="33">
        <v>126.2</v>
      </c>
      <c r="AK110" s="33">
        <v>123.7</v>
      </c>
      <c r="AL110" s="26">
        <v>2912.4999999999995</v>
      </c>
    </row>
    <row r="111" spans="1:38" hidden="1" x14ac:dyDescent="0.35">
      <c r="A111" t="s">
        <v>54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  <c r="AE111" s="33">
        <v>1840.9</v>
      </c>
      <c r="AF111" s="33">
        <v>232.5</v>
      </c>
      <c r="AG111" s="33">
        <v>108.9</v>
      </c>
      <c r="AH111" s="33">
        <v>245.6</v>
      </c>
      <c r="AI111" s="33">
        <v>245</v>
      </c>
      <c r="AJ111" s="33">
        <v>126.4</v>
      </c>
      <c r="AK111" s="33">
        <v>119.1</v>
      </c>
      <c r="AL111" s="26">
        <v>2918.4</v>
      </c>
    </row>
    <row r="112" spans="1:38" x14ac:dyDescent="0.35">
      <c r="A112" t="s">
        <v>73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  <c r="AE112" s="33">
        <v>1826.9</v>
      </c>
      <c r="AF112" s="33">
        <v>234.3</v>
      </c>
      <c r="AG112" s="33">
        <v>111.1</v>
      </c>
      <c r="AH112" s="33">
        <v>255.4</v>
      </c>
      <c r="AI112" s="33">
        <v>247.60000000000002</v>
      </c>
      <c r="AJ112" s="33">
        <v>126.3</v>
      </c>
      <c r="AK112" s="33">
        <v>122</v>
      </c>
      <c r="AL112" s="26">
        <v>2923.6000000000004</v>
      </c>
    </row>
    <row r="113" spans="1:38" hidden="1" x14ac:dyDescent="0.35">
      <c r="A113" t="s">
        <v>30</v>
      </c>
      <c r="B113">
        <v>2016</v>
      </c>
      <c r="C113" t="s">
        <v>85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>
        <v>100.3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  <c r="AE113" s="33">
        <v>1817</v>
      </c>
      <c r="AF113" s="33">
        <v>239.1</v>
      </c>
      <c r="AG113" s="33">
        <v>113.9</v>
      </c>
      <c r="AH113" s="33">
        <v>263.70000000000005</v>
      </c>
      <c r="AI113" s="33">
        <v>227.39999999999998</v>
      </c>
      <c r="AJ113" s="33">
        <v>127.1</v>
      </c>
      <c r="AK113" s="33">
        <v>124.3</v>
      </c>
      <c r="AL113" s="26">
        <v>2912.5</v>
      </c>
    </row>
    <row r="114" spans="1:38" hidden="1" x14ac:dyDescent="0.35">
      <c r="A114" t="s">
        <v>54</v>
      </c>
      <c r="B114">
        <v>2016</v>
      </c>
      <c r="C114" t="s">
        <v>85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  <c r="AE114" s="33">
        <v>1816.1</v>
      </c>
      <c r="AF114" s="33">
        <v>235</v>
      </c>
      <c r="AG114" s="33">
        <v>109.1</v>
      </c>
      <c r="AH114" s="33">
        <v>246.3</v>
      </c>
      <c r="AI114" s="33">
        <v>246.2</v>
      </c>
      <c r="AJ114" s="33">
        <v>126.3</v>
      </c>
      <c r="AK114" s="33">
        <v>119.5</v>
      </c>
      <c r="AL114" s="26">
        <v>2898.5</v>
      </c>
    </row>
    <row r="115" spans="1:38" x14ac:dyDescent="0.35">
      <c r="A115" t="s">
        <v>73</v>
      </c>
      <c r="B115">
        <v>2016</v>
      </c>
      <c r="C115" t="s">
        <v>85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  <c r="AE115" s="33">
        <v>1814</v>
      </c>
      <c r="AF115" s="33">
        <v>236.89999999999998</v>
      </c>
      <c r="AG115" s="33">
        <v>111.4</v>
      </c>
      <c r="AH115" s="33">
        <v>256.7</v>
      </c>
      <c r="AI115" s="33">
        <v>249</v>
      </c>
      <c r="AJ115" s="33">
        <v>126.6</v>
      </c>
      <c r="AK115" s="33">
        <v>122.5</v>
      </c>
      <c r="AL115" s="26">
        <v>2917.1</v>
      </c>
    </row>
    <row r="116" spans="1:38" hidden="1" x14ac:dyDescent="0.35">
      <c r="A116" t="s">
        <v>30</v>
      </c>
      <c r="B116">
        <v>2016</v>
      </c>
      <c r="C116" t="s">
        <v>107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>
        <v>100.3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  <c r="AE116" s="33">
        <v>1817.7000000000003</v>
      </c>
      <c r="AF116" s="33">
        <v>239.9</v>
      </c>
      <c r="AG116" s="33">
        <v>113.6</v>
      </c>
      <c r="AH116" s="33">
        <v>264.60000000000002</v>
      </c>
      <c r="AI116" s="33">
        <v>228</v>
      </c>
      <c r="AJ116" s="33">
        <v>127.5</v>
      </c>
      <c r="AK116" s="33">
        <v>124.8</v>
      </c>
      <c r="AL116" s="26">
        <v>2916.1000000000004</v>
      </c>
    </row>
    <row r="117" spans="1:38" hidden="1" x14ac:dyDescent="0.35">
      <c r="A117" t="s">
        <v>54</v>
      </c>
      <c r="B117">
        <v>2016</v>
      </c>
      <c r="C117" t="s">
        <v>107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  <c r="AE117" s="33">
        <v>1808.2</v>
      </c>
      <c r="AF117" s="33">
        <v>236.2</v>
      </c>
      <c r="AG117" s="33">
        <v>108.5</v>
      </c>
      <c r="AH117" s="33">
        <v>246.7</v>
      </c>
      <c r="AI117" s="33">
        <v>247.2</v>
      </c>
      <c r="AJ117" s="33">
        <v>126.4</v>
      </c>
      <c r="AK117" s="33">
        <v>119.7</v>
      </c>
      <c r="AL117" s="26">
        <v>2892.8999999999996</v>
      </c>
    </row>
    <row r="118" spans="1:38" x14ac:dyDescent="0.35">
      <c r="A118" t="s">
        <v>73</v>
      </c>
      <c r="B118">
        <v>2016</v>
      </c>
      <c r="C118" t="s">
        <v>107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  <c r="AE118" s="33">
        <v>1811.7</v>
      </c>
      <c r="AF118" s="33">
        <v>237.89999999999998</v>
      </c>
      <c r="AG118" s="33">
        <v>110.9</v>
      </c>
      <c r="AH118" s="33">
        <v>257.39999999999998</v>
      </c>
      <c r="AI118" s="33">
        <v>250</v>
      </c>
      <c r="AJ118" s="33">
        <v>126.9</v>
      </c>
      <c r="AK118" s="33">
        <v>122.9</v>
      </c>
      <c r="AL118" s="26">
        <v>2917.7000000000003</v>
      </c>
    </row>
    <row r="119" spans="1:38" hidden="1" x14ac:dyDescent="0.35">
      <c r="A119" t="s">
        <v>30</v>
      </c>
      <c r="B119">
        <v>2016</v>
      </c>
      <c r="C119" t="s">
        <v>123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>
        <v>100.3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  <c r="AE119" s="33">
        <v>1837.1000000000004</v>
      </c>
      <c r="AF119" s="33">
        <v>241.60000000000002</v>
      </c>
      <c r="AG119" s="33">
        <v>114.4</v>
      </c>
      <c r="AH119" s="33">
        <v>265.60000000000002</v>
      </c>
      <c r="AI119" s="33">
        <v>228.3</v>
      </c>
      <c r="AJ119" s="33">
        <v>127.9</v>
      </c>
      <c r="AK119" s="33">
        <v>125.2</v>
      </c>
      <c r="AL119" s="26">
        <v>2940.1000000000004</v>
      </c>
    </row>
    <row r="120" spans="1:38" hidden="1" x14ac:dyDescent="0.35">
      <c r="A120" t="s">
        <v>54</v>
      </c>
      <c r="B120">
        <v>2016</v>
      </c>
      <c r="C120" t="s">
        <v>123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  <c r="AE120" s="33">
        <v>1847.8</v>
      </c>
      <c r="AF120" s="33">
        <v>237.1</v>
      </c>
      <c r="AG120" s="33">
        <v>110</v>
      </c>
      <c r="AH120" s="33">
        <v>247.3</v>
      </c>
      <c r="AI120" s="33">
        <v>248.39999999999998</v>
      </c>
      <c r="AJ120" s="33">
        <v>127.6</v>
      </c>
      <c r="AK120" s="33">
        <v>120</v>
      </c>
      <c r="AL120" s="26">
        <v>2938.2000000000003</v>
      </c>
    </row>
    <row r="121" spans="1:38" x14ac:dyDescent="0.35">
      <c r="A121" t="s">
        <v>73</v>
      </c>
      <c r="B121">
        <v>2016</v>
      </c>
      <c r="C121" t="s">
        <v>123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  <c r="AE121" s="33">
        <v>1838.3999999999999</v>
      </c>
      <c r="AF121" s="33">
        <v>239.2</v>
      </c>
      <c r="AG121" s="33">
        <v>112.1</v>
      </c>
      <c r="AH121" s="33">
        <v>258.20000000000005</v>
      </c>
      <c r="AI121" s="33">
        <v>251.1</v>
      </c>
      <c r="AJ121" s="33">
        <v>127.7</v>
      </c>
      <c r="AK121" s="33">
        <v>123.2</v>
      </c>
      <c r="AL121" s="26">
        <v>2949.8999999999992</v>
      </c>
    </row>
    <row r="122" spans="1:38" hidden="1" x14ac:dyDescent="0.35">
      <c r="A122" t="s">
        <v>30</v>
      </c>
      <c r="B122">
        <v>2016</v>
      </c>
      <c r="C122" t="s">
        <v>136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>
        <v>100.3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  <c r="AE122" s="33">
        <v>1859.6999999999998</v>
      </c>
      <c r="AF122" s="33">
        <v>243.3</v>
      </c>
      <c r="AG122" s="33">
        <v>115.1</v>
      </c>
      <c r="AH122" s="33">
        <v>266.5</v>
      </c>
      <c r="AI122" s="33">
        <v>228.8</v>
      </c>
      <c r="AJ122" s="33">
        <v>129.1</v>
      </c>
      <c r="AK122" s="33">
        <v>125.8</v>
      </c>
      <c r="AL122" s="26">
        <v>2968.3</v>
      </c>
    </row>
    <row r="123" spans="1:38" hidden="1" x14ac:dyDescent="0.35">
      <c r="A123" t="s">
        <v>54</v>
      </c>
      <c r="B123">
        <v>2016</v>
      </c>
      <c r="C123" t="s">
        <v>136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  <c r="AE123" s="33">
        <v>1888.9999999999998</v>
      </c>
      <c r="AF123" s="33">
        <v>238.3</v>
      </c>
      <c r="AG123" s="33">
        <v>110.7</v>
      </c>
      <c r="AH123" s="33">
        <v>247.9</v>
      </c>
      <c r="AI123" s="33">
        <v>249.2</v>
      </c>
      <c r="AJ123" s="33">
        <v>128</v>
      </c>
      <c r="AK123" s="33">
        <v>120.3</v>
      </c>
      <c r="AL123" s="26">
        <v>2983.3999999999996</v>
      </c>
    </row>
    <row r="124" spans="1:38" x14ac:dyDescent="0.35">
      <c r="A124" t="s">
        <v>73</v>
      </c>
      <c r="B124">
        <v>2016</v>
      </c>
      <c r="C124" t="s">
        <v>136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  <c r="AE124" s="33">
        <v>1868.1000000000001</v>
      </c>
      <c r="AF124" s="33">
        <v>240.7</v>
      </c>
      <c r="AG124" s="33">
        <v>112.8</v>
      </c>
      <c r="AH124" s="33">
        <v>259</v>
      </c>
      <c r="AI124" s="33">
        <v>252</v>
      </c>
      <c r="AJ124" s="33">
        <v>128.5</v>
      </c>
      <c r="AK124" s="33">
        <v>123.7</v>
      </c>
      <c r="AL124" s="26">
        <v>2984.8</v>
      </c>
    </row>
    <row r="125" spans="1:38" hidden="1" x14ac:dyDescent="0.35">
      <c r="A125" t="s">
        <v>30</v>
      </c>
      <c r="B125">
        <v>2016</v>
      </c>
      <c r="C125" t="s">
        <v>146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>
        <v>100.3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  <c r="AE125" s="33">
        <v>1885.8</v>
      </c>
      <c r="AF125" s="33">
        <v>244</v>
      </c>
      <c r="AG125" s="33">
        <v>116.3</v>
      </c>
      <c r="AH125" s="33">
        <v>267.89999999999998</v>
      </c>
      <c r="AI125" s="33">
        <v>229.60000000000002</v>
      </c>
      <c r="AJ125" s="33">
        <v>130.19999999999999</v>
      </c>
      <c r="AK125" s="33">
        <v>126.2</v>
      </c>
      <c r="AL125" s="26">
        <v>3000</v>
      </c>
    </row>
    <row r="126" spans="1:38" hidden="1" x14ac:dyDescent="0.35">
      <c r="A126" t="s">
        <v>54</v>
      </c>
      <c r="B126">
        <v>2016</v>
      </c>
      <c r="C126" t="s">
        <v>146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  <c r="AE126" s="33">
        <v>1929.7000000000003</v>
      </c>
      <c r="AF126" s="33">
        <v>238.7</v>
      </c>
      <c r="AG126" s="33">
        <v>112.3</v>
      </c>
      <c r="AH126" s="33">
        <v>248.7</v>
      </c>
      <c r="AI126" s="33">
        <v>248.7</v>
      </c>
      <c r="AJ126" s="33">
        <v>129.30000000000001</v>
      </c>
      <c r="AK126" s="33">
        <v>120.6</v>
      </c>
      <c r="AL126" s="26">
        <v>3028</v>
      </c>
    </row>
    <row r="127" spans="1:38" x14ac:dyDescent="0.35">
      <c r="A127" t="s">
        <v>73</v>
      </c>
      <c r="B127">
        <v>2016</v>
      </c>
      <c r="C127" t="s">
        <v>146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  <c r="AE127" s="33">
        <v>1899.3</v>
      </c>
      <c r="AF127" s="33">
        <v>241.10000000000002</v>
      </c>
      <c r="AG127" s="33">
        <v>114.2</v>
      </c>
      <c r="AH127" s="33">
        <v>260.10000000000002</v>
      </c>
      <c r="AI127" s="33">
        <v>251.9</v>
      </c>
      <c r="AJ127" s="33">
        <v>129.69999999999999</v>
      </c>
      <c r="AK127" s="33">
        <v>124.1</v>
      </c>
      <c r="AL127" s="26">
        <v>3020.3999999999996</v>
      </c>
    </row>
    <row r="128" spans="1:38" hidden="1" x14ac:dyDescent="0.35">
      <c r="A128" t="s">
        <v>30</v>
      </c>
      <c r="B128">
        <v>2016</v>
      </c>
      <c r="C128" t="s">
        <v>163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>
        <v>100.3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  <c r="AE128" s="33">
        <v>1908.2999999999997</v>
      </c>
      <c r="AF128" s="33">
        <v>246.10000000000002</v>
      </c>
      <c r="AG128" s="33">
        <v>116.4</v>
      </c>
      <c r="AH128" s="33">
        <v>269.39999999999998</v>
      </c>
      <c r="AI128" s="33">
        <v>230.3</v>
      </c>
      <c r="AJ128" s="33">
        <v>130.80000000000001</v>
      </c>
      <c r="AK128" s="33">
        <v>126.7</v>
      </c>
      <c r="AL128" s="26">
        <v>3028</v>
      </c>
    </row>
    <row r="129" spans="1:38" hidden="1" x14ac:dyDescent="0.35">
      <c r="A129" t="s">
        <v>54</v>
      </c>
      <c r="B129">
        <v>2016</v>
      </c>
      <c r="C129" t="s">
        <v>163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  <c r="AE129" s="33">
        <v>1954.4000000000003</v>
      </c>
      <c r="AF129" s="33">
        <v>240.3</v>
      </c>
      <c r="AG129" s="33">
        <v>111.7</v>
      </c>
      <c r="AH129" s="33">
        <v>249</v>
      </c>
      <c r="AI129" s="33">
        <v>249.9</v>
      </c>
      <c r="AJ129" s="33">
        <v>130.80000000000001</v>
      </c>
      <c r="AK129" s="33">
        <v>120.9</v>
      </c>
      <c r="AL129" s="26">
        <v>3057.0000000000005</v>
      </c>
    </row>
    <row r="130" spans="1:38" x14ac:dyDescent="0.35">
      <c r="A130" t="s">
        <v>73</v>
      </c>
      <c r="B130">
        <v>2016</v>
      </c>
      <c r="C130" t="s">
        <v>163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  <c r="AE130" s="33">
        <v>1922.8</v>
      </c>
      <c r="AF130" s="33">
        <v>242.9</v>
      </c>
      <c r="AG130" s="33">
        <v>113.9</v>
      </c>
      <c r="AH130" s="33">
        <v>261.10000000000002</v>
      </c>
      <c r="AI130" s="33">
        <v>253.3</v>
      </c>
      <c r="AJ130" s="33">
        <v>130.80000000000001</v>
      </c>
      <c r="AK130" s="33">
        <v>124.5</v>
      </c>
      <c r="AL130" s="26">
        <v>3049.3</v>
      </c>
    </row>
    <row r="131" spans="1:38" hidden="1" x14ac:dyDescent="0.35">
      <c r="A131" t="s">
        <v>30</v>
      </c>
      <c r="B131">
        <v>2016</v>
      </c>
      <c r="C131" t="s">
        <v>182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>
        <v>100.3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  <c r="AE131" s="33">
        <v>1916.3999999999999</v>
      </c>
      <c r="AF131" s="33">
        <v>247.5</v>
      </c>
      <c r="AG131" s="33">
        <v>116</v>
      </c>
      <c r="AH131" s="33">
        <v>270.8</v>
      </c>
      <c r="AI131" s="33">
        <v>230.89999999999998</v>
      </c>
      <c r="AJ131" s="33">
        <v>131.9</v>
      </c>
      <c r="AK131" s="33">
        <v>127</v>
      </c>
      <c r="AL131" s="26">
        <v>3040.5</v>
      </c>
    </row>
    <row r="132" spans="1:38" hidden="1" x14ac:dyDescent="0.35">
      <c r="A132" t="s">
        <v>54</v>
      </c>
      <c r="B132">
        <v>2016</v>
      </c>
      <c r="C132" t="s">
        <v>182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  <c r="AE132" s="33">
        <v>1927.5999999999995</v>
      </c>
      <c r="AF132" s="33">
        <v>241.5</v>
      </c>
      <c r="AG132" s="33">
        <v>110.4</v>
      </c>
      <c r="AH132" s="33">
        <v>249.70000000000002</v>
      </c>
      <c r="AI132" s="33">
        <v>251.2</v>
      </c>
      <c r="AJ132" s="33">
        <v>131.5</v>
      </c>
      <c r="AK132" s="33">
        <v>121.2</v>
      </c>
      <c r="AL132" s="26">
        <v>3033.099999999999</v>
      </c>
    </row>
    <row r="133" spans="1:38" x14ac:dyDescent="0.35">
      <c r="A133" t="s">
        <v>73</v>
      </c>
      <c r="B133">
        <v>2016</v>
      </c>
      <c r="C133" t="s">
        <v>182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  <c r="AE133" s="33">
        <v>1918.1000000000001</v>
      </c>
      <c r="AF133" s="33">
        <v>244.2</v>
      </c>
      <c r="AG133" s="33">
        <v>113.1</v>
      </c>
      <c r="AH133" s="33">
        <v>262.29999999999995</v>
      </c>
      <c r="AI133" s="33">
        <v>254.7</v>
      </c>
      <c r="AJ133" s="33">
        <v>131.69999999999999</v>
      </c>
      <c r="AK133" s="33">
        <v>124.8</v>
      </c>
      <c r="AL133" s="26">
        <v>3048.8999999999996</v>
      </c>
    </row>
    <row r="134" spans="1:38" hidden="1" x14ac:dyDescent="0.35">
      <c r="A134" t="s">
        <v>30</v>
      </c>
      <c r="B134">
        <v>2016</v>
      </c>
      <c r="C134" t="s">
        <v>197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>
        <v>100.3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  <c r="AE134" s="33">
        <v>1910.6000000000001</v>
      </c>
      <c r="AF134" s="33">
        <v>248.5</v>
      </c>
      <c r="AG134" s="33">
        <v>117</v>
      </c>
      <c r="AH134" s="33">
        <v>272</v>
      </c>
      <c r="AI134" s="33">
        <v>231.39999999999998</v>
      </c>
      <c r="AJ134" s="33">
        <v>132.19999999999999</v>
      </c>
      <c r="AK134" s="33">
        <v>127.8</v>
      </c>
      <c r="AL134" s="26">
        <v>3039.5000000000005</v>
      </c>
    </row>
    <row r="135" spans="1:38" hidden="1" x14ac:dyDescent="0.35">
      <c r="A135" t="s">
        <v>54</v>
      </c>
      <c r="B135">
        <v>2016</v>
      </c>
      <c r="C135" t="s">
        <v>197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  <c r="AE135" s="33">
        <v>1900.2999999999997</v>
      </c>
      <c r="AF135" s="33">
        <v>242</v>
      </c>
      <c r="AG135" s="33">
        <v>111.8</v>
      </c>
      <c r="AH135" s="33">
        <v>250.29999999999998</v>
      </c>
      <c r="AI135" s="33">
        <v>252.2</v>
      </c>
      <c r="AJ135" s="33">
        <v>131.6</v>
      </c>
      <c r="AK135" s="33">
        <v>121.4</v>
      </c>
      <c r="AL135" s="26">
        <v>3009.6</v>
      </c>
    </row>
    <row r="136" spans="1:38" x14ac:dyDescent="0.35">
      <c r="A136" t="s">
        <v>73</v>
      </c>
      <c r="B136">
        <v>2016</v>
      </c>
      <c r="C136" t="s">
        <v>197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  <c r="AE136" s="33">
        <v>1904.6999999999998</v>
      </c>
      <c r="AF136" s="33">
        <v>245</v>
      </c>
      <c r="AG136" s="33">
        <v>114.3</v>
      </c>
      <c r="AH136" s="33">
        <v>263.2</v>
      </c>
      <c r="AI136" s="33">
        <v>255.8</v>
      </c>
      <c r="AJ136" s="33">
        <v>131.80000000000001</v>
      </c>
      <c r="AK136" s="33">
        <v>125.4</v>
      </c>
      <c r="AL136" s="26">
        <v>3040.2000000000003</v>
      </c>
    </row>
    <row r="137" spans="1:38" hidden="1" x14ac:dyDescent="0.35">
      <c r="A137" t="s">
        <v>30</v>
      </c>
      <c r="B137">
        <v>2016</v>
      </c>
      <c r="C137" t="s">
        <v>207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>
        <v>100.3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  <c r="AE137" s="33">
        <v>1912.7000000000003</v>
      </c>
      <c r="AF137" s="33">
        <v>249.5</v>
      </c>
      <c r="AG137" s="33">
        <v>117.8</v>
      </c>
      <c r="AH137" s="33">
        <v>273.89999999999998</v>
      </c>
      <c r="AI137" s="33">
        <v>232.10000000000002</v>
      </c>
      <c r="AJ137" s="33">
        <v>133</v>
      </c>
      <c r="AK137" s="33">
        <v>128.69999999999999</v>
      </c>
      <c r="AL137" s="26">
        <v>3047.7000000000003</v>
      </c>
    </row>
    <row r="138" spans="1:38" hidden="1" x14ac:dyDescent="0.35">
      <c r="A138" t="s">
        <v>54</v>
      </c>
      <c r="B138">
        <v>2016</v>
      </c>
      <c r="C138" t="s">
        <v>207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  <c r="AE138" s="33">
        <v>1907.1999999999998</v>
      </c>
      <c r="AF138" s="33">
        <v>242</v>
      </c>
      <c r="AG138" s="33">
        <v>112.8</v>
      </c>
      <c r="AH138" s="33">
        <v>251</v>
      </c>
      <c r="AI138" s="33">
        <v>253.2</v>
      </c>
      <c r="AJ138" s="33">
        <v>131.9</v>
      </c>
      <c r="AK138" s="33">
        <v>121.8</v>
      </c>
      <c r="AL138" s="26">
        <v>3019.9</v>
      </c>
    </row>
    <row r="139" spans="1:38" x14ac:dyDescent="0.35">
      <c r="A139" t="s">
        <v>73</v>
      </c>
      <c r="B139">
        <v>2016</v>
      </c>
      <c r="C139" t="s">
        <v>207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  <c r="AE139" s="33">
        <v>1908.5999999999995</v>
      </c>
      <c r="AF139" s="33">
        <v>245.6</v>
      </c>
      <c r="AG139" s="33">
        <v>115.2</v>
      </c>
      <c r="AH139" s="33">
        <v>264.60000000000002</v>
      </c>
      <c r="AI139" s="33">
        <v>257.10000000000002</v>
      </c>
      <c r="AJ139" s="33">
        <v>132.4</v>
      </c>
      <c r="AK139" s="33">
        <v>126.1</v>
      </c>
      <c r="AL139" s="26">
        <v>3049.599999999999</v>
      </c>
    </row>
    <row r="140" spans="1:38" hidden="1" x14ac:dyDescent="0.35">
      <c r="A140" t="s">
        <v>30</v>
      </c>
      <c r="B140">
        <v>2016</v>
      </c>
      <c r="C140" t="s">
        <v>233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>
        <v>100.3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  <c r="AE140" s="33">
        <v>1905.8</v>
      </c>
      <c r="AF140" s="33">
        <v>250.4</v>
      </c>
      <c r="AG140" s="33">
        <v>118.2</v>
      </c>
      <c r="AH140" s="33">
        <v>274.39999999999998</v>
      </c>
      <c r="AI140" s="33">
        <v>232.39999999999998</v>
      </c>
      <c r="AJ140" s="33">
        <v>133.69999999999999</v>
      </c>
      <c r="AK140" s="33">
        <v>129.1</v>
      </c>
      <c r="AL140" s="26">
        <v>3043.9999999999995</v>
      </c>
    </row>
    <row r="141" spans="1:38" hidden="1" x14ac:dyDescent="0.35">
      <c r="A141" t="s">
        <v>54</v>
      </c>
      <c r="B141">
        <v>2016</v>
      </c>
      <c r="C141" t="s">
        <v>233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  <c r="AE141" s="33">
        <v>1899.5</v>
      </c>
      <c r="AF141" s="33">
        <v>243</v>
      </c>
      <c r="AG141" s="33">
        <v>113.4</v>
      </c>
      <c r="AH141" s="33">
        <v>251.7</v>
      </c>
      <c r="AI141" s="33">
        <v>253.8</v>
      </c>
      <c r="AJ141" s="33">
        <v>132.1</v>
      </c>
      <c r="AK141" s="33">
        <v>122.1</v>
      </c>
      <c r="AL141" s="26">
        <v>3015.6</v>
      </c>
    </row>
    <row r="142" spans="1:38" x14ac:dyDescent="0.35">
      <c r="A142" t="s">
        <v>73</v>
      </c>
      <c r="B142">
        <v>2016</v>
      </c>
      <c r="C142" t="s">
        <v>233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  <c r="AE142" s="33">
        <v>1901.8</v>
      </c>
      <c r="AF142" s="33">
        <v>246.6</v>
      </c>
      <c r="AG142" s="33">
        <v>115.7</v>
      </c>
      <c r="AH142" s="33">
        <v>265.10000000000002</v>
      </c>
      <c r="AI142" s="33">
        <v>257.7</v>
      </c>
      <c r="AJ142" s="33">
        <v>132.80000000000001</v>
      </c>
      <c r="AK142" s="33">
        <v>126.4</v>
      </c>
      <c r="AL142" s="26">
        <v>3046.1</v>
      </c>
    </row>
    <row r="143" spans="1:38" hidden="1" x14ac:dyDescent="0.35">
      <c r="A143" t="s">
        <v>30</v>
      </c>
      <c r="B143">
        <v>2016</v>
      </c>
      <c r="C143" t="s">
        <v>242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>
        <v>100.3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  <c r="AE143" s="33">
        <v>1891.5</v>
      </c>
      <c r="AF143" s="33">
        <v>249.2</v>
      </c>
      <c r="AG143" s="33">
        <v>118.6</v>
      </c>
      <c r="AH143" s="33">
        <v>275.60000000000002</v>
      </c>
      <c r="AI143" s="33">
        <v>233.2</v>
      </c>
      <c r="AJ143" s="33">
        <v>134.19999999999999</v>
      </c>
      <c r="AK143" s="33">
        <v>129.69999999999999</v>
      </c>
      <c r="AL143" s="26">
        <v>3031.9999999999991</v>
      </c>
    </row>
    <row r="144" spans="1:38" hidden="1" x14ac:dyDescent="0.35">
      <c r="A144" t="s">
        <v>54</v>
      </c>
      <c r="B144">
        <v>2016</v>
      </c>
      <c r="C144" t="s">
        <v>242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  <c r="AE144" s="33">
        <v>1874.8</v>
      </c>
      <c r="AF144" s="33">
        <v>241.7</v>
      </c>
      <c r="AG144" s="33">
        <v>113.7</v>
      </c>
      <c r="AH144" s="33">
        <v>252.2</v>
      </c>
      <c r="AI144" s="33">
        <v>253.5</v>
      </c>
      <c r="AJ144" s="33">
        <v>132.30000000000001</v>
      </c>
      <c r="AK144" s="33">
        <v>122.3</v>
      </c>
      <c r="AL144" s="26">
        <v>2990.5</v>
      </c>
    </row>
    <row r="145" spans="1:38" x14ac:dyDescent="0.35">
      <c r="A145" t="s">
        <v>73</v>
      </c>
      <c r="B145">
        <v>2016</v>
      </c>
      <c r="C145" t="s">
        <v>242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  <c r="AE145" s="33">
        <v>1883.8</v>
      </c>
      <c r="AF145" s="33">
        <v>245.3</v>
      </c>
      <c r="AG145" s="33">
        <v>116</v>
      </c>
      <c r="AH145" s="33">
        <v>266.10000000000002</v>
      </c>
      <c r="AI145" s="33">
        <v>257.7</v>
      </c>
      <c r="AJ145" s="33">
        <v>133.1</v>
      </c>
      <c r="AK145" s="33">
        <v>126.9</v>
      </c>
      <c r="AL145" s="26">
        <v>3028.8999999999996</v>
      </c>
    </row>
    <row r="146" spans="1:38" hidden="1" x14ac:dyDescent="0.3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>
        <v>100.3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  <c r="AE146" s="33">
        <v>1880.4</v>
      </c>
      <c r="AF146" s="33">
        <v>249.3</v>
      </c>
      <c r="AG146" s="33">
        <v>119.1</v>
      </c>
      <c r="AH146" s="33">
        <v>276.5</v>
      </c>
      <c r="AI146" s="33">
        <v>233.5</v>
      </c>
      <c r="AJ146" s="33">
        <v>134.6</v>
      </c>
      <c r="AK146" s="33">
        <v>129.9</v>
      </c>
      <c r="AL146" s="26">
        <v>3023.3</v>
      </c>
    </row>
    <row r="147" spans="1:38" hidden="1" x14ac:dyDescent="0.35">
      <c r="A147" t="s">
        <v>54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  <c r="AE147" s="33">
        <v>1858.8</v>
      </c>
      <c r="AF147" s="33">
        <v>242.9</v>
      </c>
      <c r="AG147" s="33">
        <v>115.2</v>
      </c>
      <c r="AH147" s="33">
        <v>252.5</v>
      </c>
      <c r="AI147" s="33">
        <v>254.7</v>
      </c>
      <c r="AJ147" s="33">
        <v>132.4</v>
      </c>
      <c r="AK147" s="33">
        <v>122.6</v>
      </c>
      <c r="AL147" s="26">
        <v>2979.0999999999995</v>
      </c>
    </row>
    <row r="148" spans="1:38" x14ac:dyDescent="0.35">
      <c r="A148" t="s">
        <v>73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  <c r="AE148" s="33">
        <v>1871.0999999999995</v>
      </c>
      <c r="AF148" s="33">
        <v>245.9</v>
      </c>
      <c r="AG148" s="33">
        <v>117</v>
      </c>
      <c r="AH148" s="33">
        <v>266.79999999999995</v>
      </c>
      <c r="AI148" s="33">
        <v>259</v>
      </c>
      <c r="AJ148" s="33">
        <v>133.30000000000001</v>
      </c>
      <c r="AK148" s="33">
        <v>127.1</v>
      </c>
      <c r="AL148" s="26">
        <v>3020.1999999999994</v>
      </c>
    </row>
    <row r="149" spans="1:38" hidden="1" x14ac:dyDescent="0.35">
      <c r="A149" t="s">
        <v>30</v>
      </c>
      <c r="B149">
        <v>2017</v>
      </c>
      <c r="C149" t="s">
        <v>85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>
        <v>100.3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  <c r="AE149" s="33">
        <v>1878.2000000000003</v>
      </c>
      <c r="AF149" s="33">
        <v>250.9</v>
      </c>
      <c r="AG149" s="33">
        <v>119.5</v>
      </c>
      <c r="AH149" s="33">
        <v>276.70000000000005</v>
      </c>
      <c r="AI149" s="33">
        <v>233.89999999999998</v>
      </c>
      <c r="AJ149" s="33">
        <v>134.9</v>
      </c>
      <c r="AK149" s="33">
        <v>130.1</v>
      </c>
      <c r="AL149" s="26">
        <v>3024.2000000000003</v>
      </c>
    </row>
    <row r="150" spans="1:38" hidden="1" x14ac:dyDescent="0.35">
      <c r="A150" t="s">
        <v>54</v>
      </c>
      <c r="B150">
        <v>2017</v>
      </c>
      <c r="C150" t="s">
        <v>85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  <c r="AE150" s="33">
        <v>1851.6000000000001</v>
      </c>
      <c r="AF150" s="33">
        <v>243.9</v>
      </c>
      <c r="AG150" s="33">
        <v>115.5</v>
      </c>
      <c r="AH150" s="33">
        <v>253</v>
      </c>
      <c r="AI150" s="33">
        <v>255.8</v>
      </c>
      <c r="AJ150" s="33">
        <v>132.4</v>
      </c>
      <c r="AK150" s="33">
        <v>122.9</v>
      </c>
      <c r="AL150" s="26">
        <v>2975.1000000000004</v>
      </c>
    </row>
    <row r="151" spans="1:38" x14ac:dyDescent="0.35">
      <c r="A151" t="s">
        <v>73</v>
      </c>
      <c r="B151">
        <v>2017</v>
      </c>
      <c r="C151" t="s">
        <v>85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  <c r="AE151" s="33">
        <v>1866.7000000000003</v>
      </c>
      <c r="AF151" s="33">
        <v>247.2</v>
      </c>
      <c r="AG151" s="33">
        <v>117.4</v>
      </c>
      <c r="AH151" s="33">
        <v>267.10000000000002</v>
      </c>
      <c r="AI151" s="33">
        <v>260.2</v>
      </c>
      <c r="AJ151" s="33">
        <v>133.4</v>
      </c>
      <c r="AK151" s="33">
        <v>127.4</v>
      </c>
      <c r="AL151" s="26">
        <v>3019.4</v>
      </c>
    </row>
    <row r="152" spans="1:38" hidden="1" x14ac:dyDescent="0.35">
      <c r="A152" t="s">
        <v>30</v>
      </c>
      <c r="B152">
        <v>2017</v>
      </c>
      <c r="C152" t="s">
        <v>107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>
        <v>100.3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  <c r="AE152" s="33">
        <v>1872.7000000000003</v>
      </c>
      <c r="AF152" s="33">
        <v>251.60000000000002</v>
      </c>
      <c r="AG152" s="33">
        <v>119.8</v>
      </c>
      <c r="AH152" s="33">
        <v>277.79999999999995</v>
      </c>
      <c r="AI152" s="33">
        <v>234.39999999999998</v>
      </c>
      <c r="AJ152" s="33">
        <v>135.19999999999999</v>
      </c>
      <c r="AK152" s="33">
        <v>130.6</v>
      </c>
      <c r="AL152" s="26">
        <v>3022.1000000000004</v>
      </c>
    </row>
    <row r="153" spans="1:38" hidden="1" x14ac:dyDescent="0.35">
      <c r="A153" t="s">
        <v>54</v>
      </c>
      <c r="B153">
        <v>2017</v>
      </c>
      <c r="C153" t="s">
        <v>107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  <c r="AE153" s="33">
        <v>1853.1999999999998</v>
      </c>
      <c r="AF153" s="33">
        <v>244.10000000000002</v>
      </c>
      <c r="AG153" s="33">
        <v>115.6</v>
      </c>
      <c r="AH153" s="33">
        <v>253.60000000000002</v>
      </c>
      <c r="AI153" s="33">
        <v>256.7</v>
      </c>
      <c r="AJ153" s="33">
        <v>132.80000000000001</v>
      </c>
      <c r="AK153" s="33">
        <v>123.1</v>
      </c>
      <c r="AL153" s="26">
        <v>2979.0999999999995</v>
      </c>
    </row>
    <row r="154" spans="1:38" x14ac:dyDescent="0.35">
      <c r="A154" t="s">
        <v>73</v>
      </c>
      <c r="B154">
        <v>2017</v>
      </c>
      <c r="C154" t="s">
        <v>107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  <c r="AE154" s="33">
        <v>1864</v>
      </c>
      <c r="AF154" s="33">
        <v>247.6</v>
      </c>
      <c r="AG154" s="33">
        <v>117.6</v>
      </c>
      <c r="AH154" s="33">
        <v>267.89999999999998</v>
      </c>
      <c r="AI154" s="33">
        <v>261.2</v>
      </c>
      <c r="AJ154" s="33">
        <v>133.80000000000001</v>
      </c>
      <c r="AK154" s="33">
        <v>127.8</v>
      </c>
      <c r="AL154" s="26">
        <v>3019.9</v>
      </c>
    </row>
    <row r="155" spans="1:38" hidden="1" x14ac:dyDescent="0.35">
      <c r="A155" t="s">
        <v>30</v>
      </c>
      <c r="B155">
        <v>2017</v>
      </c>
      <c r="C155" t="s">
        <v>123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>
        <v>100.3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  <c r="AE155" s="33">
        <v>1870.7</v>
      </c>
      <c r="AF155" s="33">
        <v>252</v>
      </c>
      <c r="AG155" s="33">
        <v>119.2</v>
      </c>
      <c r="AH155" s="33">
        <v>279.20000000000005</v>
      </c>
      <c r="AI155" s="33">
        <v>234.60000000000002</v>
      </c>
      <c r="AJ155" s="33">
        <v>135.69999999999999</v>
      </c>
      <c r="AK155" s="33">
        <v>131</v>
      </c>
      <c r="AL155" s="26">
        <v>3022.3999999999992</v>
      </c>
    </row>
    <row r="156" spans="1:38" hidden="1" x14ac:dyDescent="0.35">
      <c r="A156" t="s">
        <v>54</v>
      </c>
      <c r="B156">
        <v>2017</v>
      </c>
      <c r="C156" t="s">
        <v>123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  <c r="AE156" s="33">
        <v>1856.1</v>
      </c>
      <c r="AF156" s="33">
        <v>244.8</v>
      </c>
      <c r="AG156" s="33">
        <v>114.3</v>
      </c>
      <c r="AH156" s="33">
        <v>254.2</v>
      </c>
      <c r="AI156" s="33">
        <v>257.7</v>
      </c>
      <c r="AJ156" s="33">
        <v>133.6</v>
      </c>
      <c r="AK156" s="33">
        <v>123.4</v>
      </c>
      <c r="AL156" s="26">
        <v>2984.1</v>
      </c>
    </row>
    <row r="157" spans="1:38" x14ac:dyDescent="0.35">
      <c r="A157" t="s">
        <v>73</v>
      </c>
      <c r="B157">
        <v>2017</v>
      </c>
      <c r="C157" t="s">
        <v>123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  <c r="AE157" s="33">
        <v>1863.8000000000002</v>
      </c>
      <c r="AF157" s="33">
        <v>248.2</v>
      </c>
      <c r="AG157" s="33">
        <v>116.6</v>
      </c>
      <c r="AH157" s="33">
        <v>269.10000000000002</v>
      </c>
      <c r="AI157" s="33">
        <v>262.10000000000002</v>
      </c>
      <c r="AJ157" s="33">
        <v>134.5</v>
      </c>
      <c r="AK157" s="33">
        <v>128.1</v>
      </c>
      <c r="AL157" s="26">
        <v>3022.3999999999996</v>
      </c>
    </row>
    <row r="158" spans="1:38" hidden="1" x14ac:dyDescent="0.35">
      <c r="A158" t="s">
        <v>30</v>
      </c>
      <c r="B158">
        <v>2017</v>
      </c>
      <c r="C158" t="s">
        <v>136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>
        <v>100.3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  <c r="AE158" s="33">
        <v>1872.9999999999995</v>
      </c>
      <c r="AF158" s="33">
        <v>253.10000000000002</v>
      </c>
      <c r="AG158" s="33">
        <v>119.4</v>
      </c>
      <c r="AH158" s="33">
        <v>279.8</v>
      </c>
      <c r="AI158" s="33">
        <v>235.2</v>
      </c>
      <c r="AJ158" s="33">
        <v>136.30000000000001</v>
      </c>
      <c r="AK158" s="33">
        <v>131.4</v>
      </c>
      <c r="AL158" s="26">
        <v>3028.2</v>
      </c>
    </row>
    <row r="159" spans="1:38" hidden="1" x14ac:dyDescent="0.35">
      <c r="A159" t="s">
        <v>54</v>
      </c>
      <c r="B159">
        <v>2017</v>
      </c>
      <c r="C159" t="s">
        <v>136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  <c r="AE159" s="33">
        <v>1857.8999999999999</v>
      </c>
      <c r="AF159" s="33">
        <v>244.8</v>
      </c>
      <c r="AG159" s="33">
        <v>114.3</v>
      </c>
      <c r="AH159" s="33">
        <v>254.7</v>
      </c>
      <c r="AI159" s="33">
        <v>258.60000000000002</v>
      </c>
      <c r="AJ159" s="33">
        <v>133.80000000000001</v>
      </c>
      <c r="AK159" s="33">
        <v>123.6</v>
      </c>
      <c r="AL159" s="26">
        <v>2987.7</v>
      </c>
    </row>
    <row r="160" spans="1:38" x14ac:dyDescent="0.35">
      <c r="A160" t="s">
        <v>73</v>
      </c>
      <c r="B160">
        <v>2017</v>
      </c>
      <c r="C160" t="s">
        <v>136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  <c r="AE160" s="33">
        <v>1865.8000000000002</v>
      </c>
      <c r="AF160" s="33">
        <v>248.7</v>
      </c>
      <c r="AG160" s="33">
        <v>116.7</v>
      </c>
      <c r="AH160" s="33">
        <v>269.60000000000002</v>
      </c>
      <c r="AI160" s="33">
        <v>263</v>
      </c>
      <c r="AJ160" s="33">
        <v>134.80000000000001</v>
      </c>
      <c r="AK160" s="33">
        <v>128.4</v>
      </c>
      <c r="AL160" s="26">
        <v>3027</v>
      </c>
    </row>
    <row r="161" spans="1:38" hidden="1" x14ac:dyDescent="0.35">
      <c r="A161" t="s">
        <v>30</v>
      </c>
      <c r="B161">
        <v>2017</v>
      </c>
      <c r="C161" t="s">
        <v>146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>
        <v>100.3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  <c r="AE161" s="33">
        <v>1884.6000000000001</v>
      </c>
      <c r="AF161" s="33">
        <v>253.9</v>
      </c>
      <c r="AG161" s="33">
        <v>119.4</v>
      </c>
      <c r="AH161" s="33">
        <v>280.79999999999995</v>
      </c>
      <c r="AI161" s="33">
        <v>235.5</v>
      </c>
      <c r="AJ161" s="33">
        <v>136.9</v>
      </c>
      <c r="AK161" s="33">
        <v>131.30000000000001</v>
      </c>
      <c r="AL161" s="26">
        <v>3042.4</v>
      </c>
    </row>
    <row r="162" spans="1:38" hidden="1" x14ac:dyDescent="0.35">
      <c r="A162" t="s">
        <v>54</v>
      </c>
      <c r="B162">
        <v>2017</v>
      </c>
      <c r="C162" t="s">
        <v>146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  <c r="AE162" s="33">
        <v>1879.6000000000001</v>
      </c>
      <c r="AF162" s="33">
        <v>245.4</v>
      </c>
      <c r="AG162" s="33">
        <v>113.9</v>
      </c>
      <c r="AH162" s="33">
        <v>254.7</v>
      </c>
      <c r="AI162" s="33">
        <v>258.2</v>
      </c>
      <c r="AJ162" s="33">
        <v>134.30000000000001</v>
      </c>
      <c r="AK162" s="33">
        <v>123.8</v>
      </c>
      <c r="AL162" s="26">
        <v>3009.9</v>
      </c>
    </row>
    <row r="163" spans="1:38" x14ac:dyDescent="0.35">
      <c r="A163" t="s">
        <v>73</v>
      </c>
      <c r="B163">
        <v>2017</v>
      </c>
      <c r="C163" t="s">
        <v>146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  <c r="AE163" s="33">
        <v>1881.2</v>
      </c>
      <c r="AF163" s="33">
        <v>249.3</v>
      </c>
      <c r="AG163" s="33">
        <v>116.5</v>
      </c>
      <c r="AH163" s="33">
        <v>270.2</v>
      </c>
      <c r="AI163" s="33">
        <v>262.60000000000002</v>
      </c>
      <c r="AJ163" s="33">
        <v>135.4</v>
      </c>
      <c r="AK163" s="33">
        <v>128.5</v>
      </c>
      <c r="AL163" s="26">
        <v>3043.7</v>
      </c>
    </row>
    <row r="164" spans="1:38" hidden="1" x14ac:dyDescent="0.35">
      <c r="A164" t="s">
        <v>30</v>
      </c>
      <c r="B164">
        <v>2017</v>
      </c>
      <c r="C164" t="s">
        <v>163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>
        <v>100.3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  <c r="AE164" s="33">
        <v>1920.3000000000002</v>
      </c>
      <c r="AF164" s="33">
        <v>255</v>
      </c>
      <c r="AG164" s="33">
        <v>119.1</v>
      </c>
      <c r="AH164" s="33">
        <v>282.39999999999998</v>
      </c>
      <c r="AI164" s="33">
        <v>236.39999999999998</v>
      </c>
      <c r="AJ164" s="33">
        <v>138.6</v>
      </c>
      <c r="AK164" s="33">
        <v>132.1</v>
      </c>
      <c r="AL164" s="26">
        <v>3083.9</v>
      </c>
    </row>
    <row r="165" spans="1:38" hidden="1" x14ac:dyDescent="0.35">
      <c r="A165" t="s">
        <v>54</v>
      </c>
      <c r="B165">
        <v>2017</v>
      </c>
      <c r="C165" t="s">
        <v>163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  <c r="AE165" s="33">
        <v>1918.6</v>
      </c>
      <c r="AF165" s="33">
        <v>245.9</v>
      </c>
      <c r="AG165" s="33">
        <v>113.2</v>
      </c>
      <c r="AH165" s="33">
        <v>255.3</v>
      </c>
      <c r="AI165" s="33">
        <v>259.8</v>
      </c>
      <c r="AJ165" s="33">
        <v>135.5</v>
      </c>
      <c r="AK165" s="33">
        <v>125</v>
      </c>
      <c r="AL165" s="26">
        <v>3053.3</v>
      </c>
    </row>
    <row r="166" spans="1:38" x14ac:dyDescent="0.35">
      <c r="A166" t="s">
        <v>73</v>
      </c>
      <c r="B166">
        <v>2017</v>
      </c>
      <c r="C166" t="s">
        <v>163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  <c r="AE166" s="33">
        <v>1917.6</v>
      </c>
      <c r="AF166" s="33">
        <v>250.2</v>
      </c>
      <c r="AG166" s="33">
        <v>116</v>
      </c>
      <c r="AH166" s="33">
        <v>271.39999999999998</v>
      </c>
      <c r="AI166" s="33">
        <v>264.5</v>
      </c>
      <c r="AJ166" s="33">
        <v>136.80000000000001</v>
      </c>
      <c r="AK166" s="33">
        <v>129.4</v>
      </c>
      <c r="AL166" s="26">
        <v>3085.9</v>
      </c>
    </row>
    <row r="167" spans="1:38" hidden="1" x14ac:dyDescent="0.35">
      <c r="A167" t="s">
        <v>30</v>
      </c>
      <c r="B167">
        <v>2017</v>
      </c>
      <c r="C167" t="s">
        <v>182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>
        <v>100.3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  <c r="AE167" s="33">
        <v>1941.4999999999998</v>
      </c>
      <c r="AF167" s="33">
        <v>256.89999999999998</v>
      </c>
      <c r="AG167" s="33">
        <v>120.3</v>
      </c>
      <c r="AH167" s="33">
        <v>284.5</v>
      </c>
      <c r="AI167" s="33">
        <v>237.60000000000002</v>
      </c>
      <c r="AJ167" s="33">
        <v>140.19999999999999</v>
      </c>
      <c r="AK167" s="33">
        <v>133</v>
      </c>
      <c r="AL167" s="26">
        <v>3113.9999999999995</v>
      </c>
    </row>
    <row r="168" spans="1:38" hidden="1" x14ac:dyDescent="0.35">
      <c r="A168" t="s">
        <v>54</v>
      </c>
      <c r="B168">
        <v>2017</v>
      </c>
      <c r="C168" t="s">
        <v>182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  <c r="AE168" s="33">
        <v>1925.0999999999997</v>
      </c>
      <c r="AF168" s="33">
        <v>247.39999999999998</v>
      </c>
      <c r="AG168" s="33">
        <v>114.6</v>
      </c>
      <c r="AH168" s="33">
        <v>257</v>
      </c>
      <c r="AI168" s="33">
        <v>262.10000000000002</v>
      </c>
      <c r="AJ168" s="33">
        <v>135.69999999999999</v>
      </c>
      <c r="AK168" s="33">
        <v>125.7</v>
      </c>
      <c r="AL168" s="26">
        <v>3067.599999999999</v>
      </c>
    </row>
    <row r="169" spans="1:38" x14ac:dyDescent="0.35">
      <c r="A169" t="s">
        <v>73</v>
      </c>
      <c r="B169">
        <v>2017</v>
      </c>
      <c r="C169" t="s">
        <v>182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  <c r="AE169" s="33">
        <v>1933.6</v>
      </c>
      <c r="AF169" s="33">
        <v>251.8</v>
      </c>
      <c r="AG169" s="33">
        <v>117.3</v>
      </c>
      <c r="AH169" s="33">
        <v>273.3</v>
      </c>
      <c r="AI169" s="33">
        <v>267.20000000000005</v>
      </c>
      <c r="AJ169" s="33">
        <v>137.6</v>
      </c>
      <c r="AK169" s="33">
        <v>130.19999999999999</v>
      </c>
      <c r="AL169" s="26">
        <v>3111.0000000000005</v>
      </c>
    </row>
    <row r="170" spans="1:38" hidden="1" x14ac:dyDescent="0.35">
      <c r="A170" t="s">
        <v>30</v>
      </c>
      <c r="B170">
        <v>2017</v>
      </c>
      <c r="C170" t="s">
        <v>197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>
        <v>100.3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  <c r="AE170" s="33">
        <v>1934.1</v>
      </c>
      <c r="AF170" s="33">
        <v>259</v>
      </c>
      <c r="AG170" s="33">
        <v>121.2</v>
      </c>
      <c r="AH170" s="33">
        <v>285.79999999999995</v>
      </c>
      <c r="AI170" s="33">
        <v>238.2</v>
      </c>
      <c r="AJ170" s="33">
        <v>139.6</v>
      </c>
      <c r="AK170" s="33">
        <v>133.4</v>
      </c>
      <c r="AL170" s="26">
        <v>3111.2999999999993</v>
      </c>
    </row>
    <row r="171" spans="1:38" hidden="1" x14ac:dyDescent="0.35">
      <c r="A171" t="s">
        <v>54</v>
      </c>
      <c r="B171">
        <v>2017</v>
      </c>
      <c r="C171" t="s">
        <v>197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  <c r="AE171" s="33">
        <v>1903.3</v>
      </c>
      <c r="AF171" s="33">
        <v>248.9</v>
      </c>
      <c r="AG171" s="33">
        <v>115.7</v>
      </c>
      <c r="AH171" s="33">
        <v>257.89999999999998</v>
      </c>
      <c r="AI171" s="33">
        <v>263.79999999999995</v>
      </c>
      <c r="AJ171" s="33">
        <v>135.9</v>
      </c>
      <c r="AK171" s="33">
        <v>126.1</v>
      </c>
      <c r="AL171" s="26">
        <v>3051.5999999999995</v>
      </c>
    </row>
    <row r="172" spans="1:38" x14ac:dyDescent="0.35">
      <c r="A172" t="s">
        <v>73</v>
      </c>
      <c r="B172">
        <v>2017</v>
      </c>
      <c r="C172" t="s">
        <v>197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  <c r="AE172" s="33">
        <v>1920.7999999999997</v>
      </c>
      <c r="AF172" s="33">
        <v>253.60000000000002</v>
      </c>
      <c r="AG172" s="33">
        <v>118.3</v>
      </c>
      <c r="AH172" s="33">
        <v>274.5</v>
      </c>
      <c r="AI172" s="33">
        <v>269</v>
      </c>
      <c r="AJ172" s="33">
        <v>137.4</v>
      </c>
      <c r="AK172" s="33">
        <v>130.6</v>
      </c>
      <c r="AL172" s="26">
        <v>3104.2</v>
      </c>
    </row>
    <row r="173" spans="1:38" hidden="1" x14ac:dyDescent="0.35">
      <c r="A173" t="s">
        <v>30</v>
      </c>
      <c r="B173">
        <v>2017</v>
      </c>
      <c r="C173" t="s">
        <v>207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>
        <v>100.3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  <c r="AE173" s="33">
        <v>1941.3999999999999</v>
      </c>
      <c r="AF173" s="33">
        <v>260.39999999999998</v>
      </c>
      <c r="AG173" s="33">
        <v>121</v>
      </c>
      <c r="AH173" s="33">
        <v>287.79999999999995</v>
      </c>
      <c r="AI173" s="33">
        <v>238.7</v>
      </c>
      <c r="AJ173" s="33">
        <v>140.1</v>
      </c>
      <c r="AK173" s="33">
        <v>134.19999999999999</v>
      </c>
      <c r="AL173" s="26">
        <v>3123.599999999999</v>
      </c>
    </row>
    <row r="174" spans="1:38" hidden="1" x14ac:dyDescent="0.35">
      <c r="A174" t="s">
        <v>54</v>
      </c>
      <c r="B174">
        <v>2017</v>
      </c>
      <c r="C174" t="s">
        <v>207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  <c r="AE174" s="33">
        <v>1920.2999999999997</v>
      </c>
      <c r="AF174" s="33">
        <v>249.39999999999998</v>
      </c>
      <c r="AG174" s="33">
        <v>115</v>
      </c>
      <c r="AH174" s="33">
        <v>258.89999999999998</v>
      </c>
      <c r="AI174" s="33">
        <v>265.60000000000002</v>
      </c>
      <c r="AJ174" s="33">
        <v>136.30000000000001</v>
      </c>
      <c r="AK174" s="33">
        <v>126.6</v>
      </c>
      <c r="AL174" s="26">
        <v>3072.1</v>
      </c>
    </row>
    <row r="175" spans="1:38" x14ac:dyDescent="0.35">
      <c r="A175" t="s">
        <v>73</v>
      </c>
      <c r="B175">
        <v>2017</v>
      </c>
      <c r="C175" t="s">
        <v>207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  <c r="AE175" s="33">
        <v>1931.2999999999997</v>
      </c>
      <c r="AF175" s="33">
        <v>254.60000000000002</v>
      </c>
      <c r="AG175" s="33">
        <v>117.8</v>
      </c>
      <c r="AH175" s="33">
        <v>276.10000000000002</v>
      </c>
      <c r="AI175" s="33">
        <v>270.89999999999998</v>
      </c>
      <c r="AJ175" s="33">
        <v>137.9</v>
      </c>
      <c r="AK175" s="33">
        <v>131.30000000000001</v>
      </c>
      <c r="AL175" s="26">
        <v>3119.9</v>
      </c>
    </row>
    <row r="176" spans="1:38" hidden="1" x14ac:dyDescent="0.35">
      <c r="A176" t="s">
        <v>30</v>
      </c>
      <c r="B176">
        <v>2017</v>
      </c>
      <c r="C176" t="s">
        <v>233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>
        <v>100.3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  <c r="AE176" s="33">
        <v>1969.8000000000002</v>
      </c>
      <c r="AF176" s="33">
        <v>261.79999999999995</v>
      </c>
      <c r="AG176" s="33">
        <v>121.6</v>
      </c>
      <c r="AH176" s="33">
        <v>289.7</v>
      </c>
      <c r="AI176" s="33">
        <v>239.7</v>
      </c>
      <c r="AJ176" s="33">
        <v>141.5</v>
      </c>
      <c r="AK176" s="33">
        <v>135.80000000000001</v>
      </c>
      <c r="AL176" s="26">
        <v>3159.9</v>
      </c>
    </row>
    <row r="177" spans="1:38" hidden="1" x14ac:dyDescent="0.35">
      <c r="A177" t="s">
        <v>54</v>
      </c>
      <c r="B177">
        <v>2017</v>
      </c>
      <c r="C177" t="s">
        <v>233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  <c r="AE177" s="33">
        <v>1952.9</v>
      </c>
      <c r="AF177" s="33">
        <v>250</v>
      </c>
      <c r="AG177" s="33">
        <v>115.3</v>
      </c>
      <c r="AH177" s="33">
        <v>260.39999999999998</v>
      </c>
      <c r="AI177" s="33">
        <v>267.39999999999998</v>
      </c>
      <c r="AJ177" s="33">
        <v>136.6</v>
      </c>
      <c r="AK177" s="33">
        <v>127.4</v>
      </c>
      <c r="AL177" s="26">
        <v>3110.0000000000005</v>
      </c>
    </row>
    <row r="178" spans="1:38" x14ac:dyDescent="0.35">
      <c r="A178" t="s">
        <v>73</v>
      </c>
      <c r="B178">
        <v>2017</v>
      </c>
      <c r="C178" t="s">
        <v>233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  <c r="AE178" s="33">
        <v>1961.4</v>
      </c>
      <c r="AF178" s="33">
        <v>255.7</v>
      </c>
      <c r="AG178" s="33">
        <v>118.3</v>
      </c>
      <c r="AH178" s="33">
        <v>277.8</v>
      </c>
      <c r="AI178" s="33">
        <v>273</v>
      </c>
      <c r="AJ178" s="33">
        <v>138.6</v>
      </c>
      <c r="AK178" s="33">
        <v>132.6</v>
      </c>
      <c r="AL178" s="26">
        <v>3157.4</v>
      </c>
    </row>
    <row r="179" spans="1:38" hidden="1" x14ac:dyDescent="0.35">
      <c r="A179" t="s">
        <v>30</v>
      </c>
      <c r="B179">
        <v>2017</v>
      </c>
      <c r="C179" t="s">
        <v>242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>
        <v>100.3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  <c r="AE179" s="33">
        <v>1966.8000000000002</v>
      </c>
      <c r="AF179" s="33">
        <v>261.2</v>
      </c>
      <c r="AG179" s="33">
        <v>122</v>
      </c>
      <c r="AH179" s="33">
        <v>289.89999999999998</v>
      </c>
      <c r="AI179" s="33">
        <v>239.8</v>
      </c>
      <c r="AJ179" s="33">
        <v>141.1</v>
      </c>
      <c r="AK179" s="33">
        <v>136.1</v>
      </c>
      <c r="AL179" s="26">
        <v>3156.9</v>
      </c>
    </row>
    <row r="180" spans="1:38" hidden="1" x14ac:dyDescent="0.35">
      <c r="A180" t="s">
        <v>54</v>
      </c>
      <c r="B180">
        <v>2017</v>
      </c>
      <c r="C180" t="s">
        <v>242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  <c r="AE180" s="33">
        <v>1924.5</v>
      </c>
      <c r="AF180" s="33">
        <v>250.2</v>
      </c>
      <c r="AG180" s="33">
        <v>115.3</v>
      </c>
      <c r="AH180" s="33">
        <v>261.2</v>
      </c>
      <c r="AI180" s="33">
        <v>268.39999999999998</v>
      </c>
      <c r="AJ180" s="33">
        <v>136.69999999999999</v>
      </c>
      <c r="AK180" s="33">
        <v>128.19999999999999</v>
      </c>
      <c r="AL180" s="26">
        <v>3084.4999999999995</v>
      </c>
    </row>
    <row r="181" spans="1:38" x14ac:dyDescent="0.35">
      <c r="A181" t="s">
        <v>73</v>
      </c>
      <c r="B181">
        <v>2017</v>
      </c>
      <c r="C181" t="s">
        <v>242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  <c r="AE181" s="33">
        <v>1949.1999999999998</v>
      </c>
      <c r="AF181" s="33">
        <v>255.5</v>
      </c>
      <c r="AG181" s="33">
        <v>118.5</v>
      </c>
      <c r="AH181" s="33">
        <v>278.2</v>
      </c>
      <c r="AI181" s="33">
        <v>273.79999999999995</v>
      </c>
      <c r="AJ181" s="33">
        <v>138.5</v>
      </c>
      <c r="AK181" s="33">
        <v>133.1</v>
      </c>
      <c r="AL181" s="26">
        <v>3146.7999999999997</v>
      </c>
    </row>
    <row r="182" spans="1:38" hidden="1" x14ac:dyDescent="0.3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>
        <v>100.3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  <c r="AE182" s="33">
        <v>1954.3</v>
      </c>
      <c r="AF182" s="33">
        <v>262.89999999999998</v>
      </c>
      <c r="AG182" s="33">
        <v>122.7</v>
      </c>
      <c r="AH182" s="33">
        <v>290.60000000000002</v>
      </c>
      <c r="AI182" s="33">
        <v>240.10000000000002</v>
      </c>
      <c r="AJ182" s="33">
        <v>141.6</v>
      </c>
      <c r="AK182" s="33">
        <v>136</v>
      </c>
      <c r="AL182" s="26">
        <v>3148.1999999999994</v>
      </c>
    </row>
    <row r="183" spans="1:38" hidden="1" x14ac:dyDescent="0.35">
      <c r="A183" t="s">
        <v>54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  <c r="AE183" s="33">
        <v>1906.0000000000002</v>
      </c>
      <c r="AF183" s="33">
        <v>251.7</v>
      </c>
      <c r="AG183" s="33">
        <v>116.3</v>
      </c>
      <c r="AH183" s="33">
        <v>261.89999999999998</v>
      </c>
      <c r="AI183" s="33">
        <v>269.89999999999998</v>
      </c>
      <c r="AJ183" s="33">
        <v>137.1</v>
      </c>
      <c r="AK183" s="33">
        <v>129</v>
      </c>
      <c r="AL183" s="26">
        <v>3071.9000000000005</v>
      </c>
    </row>
    <row r="184" spans="1:38" x14ac:dyDescent="0.35">
      <c r="A184" t="s">
        <v>73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  <c r="AE184" s="33">
        <v>1934.6000000000001</v>
      </c>
      <c r="AF184" s="33">
        <v>257</v>
      </c>
      <c r="AG184" s="33">
        <v>119.3</v>
      </c>
      <c r="AH184" s="33">
        <v>279</v>
      </c>
      <c r="AI184" s="33">
        <v>275.3</v>
      </c>
      <c r="AJ184" s="33">
        <v>139</v>
      </c>
      <c r="AK184" s="33">
        <v>133.30000000000001</v>
      </c>
      <c r="AL184" s="26">
        <v>3137.5000000000009</v>
      </c>
    </row>
    <row r="185" spans="1:38" hidden="1" x14ac:dyDescent="0.35">
      <c r="A185" t="s">
        <v>30</v>
      </c>
      <c r="B185">
        <v>2018</v>
      </c>
      <c r="C185" t="s">
        <v>85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>
        <v>100.3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  <c r="AE185" s="33">
        <v>1934.8</v>
      </c>
      <c r="AF185" s="33">
        <v>263.10000000000002</v>
      </c>
      <c r="AG185" s="33">
        <v>123.3</v>
      </c>
      <c r="AH185" s="33">
        <v>291.10000000000002</v>
      </c>
      <c r="AI185" s="33">
        <v>240.2</v>
      </c>
      <c r="AJ185" s="33">
        <v>141.5</v>
      </c>
      <c r="AK185" s="33">
        <v>136.19999999999999</v>
      </c>
      <c r="AL185" s="26">
        <v>3130.2</v>
      </c>
    </row>
    <row r="186" spans="1:38" hidden="1" x14ac:dyDescent="0.35">
      <c r="A186" t="s">
        <v>54</v>
      </c>
      <c r="B186">
        <v>2018</v>
      </c>
      <c r="C186" t="s">
        <v>85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  <c r="AE186" s="33">
        <v>1887.2</v>
      </c>
      <c r="AF186" s="33">
        <v>252.7</v>
      </c>
      <c r="AG186" s="33">
        <v>117.4</v>
      </c>
      <c r="AH186" s="33">
        <v>262.39999999999998</v>
      </c>
      <c r="AI186" s="33">
        <v>271.20000000000005</v>
      </c>
      <c r="AJ186" s="33">
        <v>137.19999999999999</v>
      </c>
      <c r="AK186" s="33">
        <v>129.80000000000001</v>
      </c>
      <c r="AL186" s="26">
        <v>3057.9000000000005</v>
      </c>
    </row>
    <row r="187" spans="1:38" x14ac:dyDescent="0.35">
      <c r="A187" t="s">
        <v>73</v>
      </c>
      <c r="B187">
        <v>2018</v>
      </c>
      <c r="C187" t="s">
        <v>85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  <c r="AE187" s="33">
        <v>1915.2999999999997</v>
      </c>
      <c r="AF187" s="33">
        <v>257.60000000000002</v>
      </c>
      <c r="AG187" s="33">
        <v>120.2</v>
      </c>
      <c r="AH187" s="33">
        <v>279.39999999999998</v>
      </c>
      <c r="AI187" s="33">
        <v>276.5</v>
      </c>
      <c r="AJ187" s="33">
        <v>139</v>
      </c>
      <c r="AK187" s="33">
        <v>133.80000000000001</v>
      </c>
      <c r="AL187" s="26">
        <v>3121.7999999999997</v>
      </c>
    </row>
    <row r="188" spans="1:38" hidden="1" x14ac:dyDescent="0.35">
      <c r="A188" t="s">
        <v>30</v>
      </c>
      <c r="B188">
        <v>2018</v>
      </c>
      <c r="C188" t="s">
        <v>107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>
        <v>100.3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  <c r="AE188" s="33">
        <v>1937.0999999999997</v>
      </c>
      <c r="AF188" s="33">
        <v>264.39999999999998</v>
      </c>
      <c r="AG188" s="33">
        <v>124.6</v>
      </c>
      <c r="AH188" s="33">
        <v>292.2</v>
      </c>
      <c r="AI188" s="33">
        <v>240.2</v>
      </c>
      <c r="AJ188" s="33">
        <v>142.69999999999999</v>
      </c>
      <c r="AK188" s="33">
        <v>136.69999999999999</v>
      </c>
      <c r="AL188" s="26">
        <v>3137.8999999999987</v>
      </c>
    </row>
    <row r="189" spans="1:38" hidden="1" x14ac:dyDescent="0.35">
      <c r="A189" t="s">
        <v>54</v>
      </c>
      <c r="B189">
        <v>2018</v>
      </c>
      <c r="C189" t="s">
        <v>107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  <c r="AE189" s="33">
        <v>1875.2</v>
      </c>
      <c r="AF189" s="33">
        <v>253.5</v>
      </c>
      <c r="AG189" s="33">
        <v>117.8</v>
      </c>
      <c r="AH189" s="33">
        <v>263.39999999999998</v>
      </c>
      <c r="AI189" s="33">
        <v>272.8</v>
      </c>
      <c r="AJ189" s="33">
        <v>137.80000000000001</v>
      </c>
      <c r="AK189" s="33">
        <v>130.5</v>
      </c>
      <c r="AL189" s="26">
        <v>3051.0000000000005</v>
      </c>
    </row>
    <row r="190" spans="1:38" x14ac:dyDescent="0.35">
      <c r="A190" t="s">
        <v>73</v>
      </c>
      <c r="B190">
        <v>2018</v>
      </c>
      <c r="C190" t="s">
        <v>107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  <c r="AE190" s="33">
        <v>1912.3</v>
      </c>
      <c r="AF190" s="33">
        <v>258.60000000000002</v>
      </c>
      <c r="AG190" s="33">
        <v>121</v>
      </c>
      <c r="AH190" s="33">
        <v>280.5</v>
      </c>
      <c r="AI190" s="33">
        <v>277.60000000000002</v>
      </c>
      <c r="AJ190" s="33">
        <v>139.80000000000001</v>
      </c>
      <c r="AK190" s="33">
        <v>134.30000000000001</v>
      </c>
      <c r="AL190" s="26">
        <v>3124.1000000000004</v>
      </c>
    </row>
    <row r="191" spans="1:38" hidden="1" x14ac:dyDescent="0.35">
      <c r="A191" t="s">
        <v>30</v>
      </c>
      <c r="B191">
        <v>2018</v>
      </c>
      <c r="C191" t="s">
        <v>123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>
        <v>100.3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  <c r="AE191" s="33">
        <v>1936.1</v>
      </c>
      <c r="AF191" s="33">
        <v>266.39999999999998</v>
      </c>
      <c r="AG191" s="33">
        <v>125.3</v>
      </c>
      <c r="AH191" s="33">
        <v>293.39999999999998</v>
      </c>
      <c r="AI191" s="33">
        <v>241.2</v>
      </c>
      <c r="AJ191" s="33">
        <v>143.69999999999999</v>
      </c>
      <c r="AK191" s="33">
        <v>137.6</v>
      </c>
      <c r="AL191" s="26">
        <v>3143.7</v>
      </c>
    </row>
    <row r="192" spans="1:38" hidden="1" x14ac:dyDescent="0.35">
      <c r="A192" t="s">
        <v>54</v>
      </c>
      <c r="B192">
        <v>2018</v>
      </c>
      <c r="C192" t="s">
        <v>123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  <c r="AE192" s="33">
        <v>1879.2000000000003</v>
      </c>
      <c r="AF192" s="33">
        <v>255.2</v>
      </c>
      <c r="AG192" s="33">
        <v>118.9</v>
      </c>
      <c r="AH192" s="33">
        <v>265.20000000000005</v>
      </c>
      <c r="AI192" s="33">
        <v>274.70000000000005</v>
      </c>
      <c r="AJ192" s="33">
        <v>139.69999999999999</v>
      </c>
      <c r="AK192" s="33">
        <v>131.30000000000001</v>
      </c>
      <c r="AL192" s="26">
        <v>3064.2</v>
      </c>
    </row>
    <row r="193" spans="1:38" x14ac:dyDescent="0.35">
      <c r="A193" t="s">
        <v>73</v>
      </c>
      <c r="B193">
        <v>2018</v>
      </c>
      <c r="C193" t="s">
        <v>123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  <c r="AE193" s="33">
        <v>1914.0000000000002</v>
      </c>
      <c r="AF193" s="33">
        <v>260.5</v>
      </c>
      <c r="AG193" s="33">
        <v>121.9</v>
      </c>
      <c r="AH193" s="33">
        <v>282</v>
      </c>
      <c r="AI193" s="33">
        <v>279.5</v>
      </c>
      <c r="AJ193" s="33">
        <v>141.4</v>
      </c>
      <c r="AK193" s="33">
        <v>135.19999999999999</v>
      </c>
      <c r="AL193" s="26">
        <v>3134.5</v>
      </c>
    </row>
    <row r="194" spans="1:38" hidden="1" x14ac:dyDescent="0.35">
      <c r="A194" t="s">
        <v>30</v>
      </c>
      <c r="B194">
        <v>2018</v>
      </c>
      <c r="C194" t="s">
        <v>136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>
        <v>100.3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  <c r="AE194" s="33">
        <v>1939.4</v>
      </c>
      <c r="AF194" s="33">
        <v>268</v>
      </c>
      <c r="AG194" s="33">
        <v>126.4</v>
      </c>
      <c r="AH194" s="33">
        <v>294.89999999999998</v>
      </c>
      <c r="AI194" s="33">
        <v>242.10000000000002</v>
      </c>
      <c r="AJ194" s="33">
        <v>144.4</v>
      </c>
      <c r="AK194" s="33">
        <v>138.4</v>
      </c>
      <c r="AL194" s="26">
        <v>3153.6000000000004</v>
      </c>
    </row>
    <row r="195" spans="1:38" hidden="1" x14ac:dyDescent="0.35">
      <c r="A195" t="s">
        <v>54</v>
      </c>
      <c r="B195">
        <v>2018</v>
      </c>
      <c r="C195" t="s">
        <v>136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  <c r="AE195" s="33">
        <v>1883.1999999999998</v>
      </c>
      <c r="AF195" s="33">
        <v>256.10000000000002</v>
      </c>
      <c r="AG195" s="33">
        <v>119.8</v>
      </c>
      <c r="AH195" s="33">
        <v>266.5</v>
      </c>
      <c r="AI195" s="33">
        <v>275.7</v>
      </c>
      <c r="AJ195" s="33">
        <v>140.4</v>
      </c>
      <c r="AK195" s="33">
        <v>132</v>
      </c>
      <c r="AL195" s="26">
        <v>3073.7</v>
      </c>
    </row>
    <row r="196" spans="1:38" x14ac:dyDescent="0.35">
      <c r="A196" t="s">
        <v>73</v>
      </c>
      <c r="B196">
        <v>2018</v>
      </c>
      <c r="C196" t="s">
        <v>136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  <c r="AE196" s="33">
        <v>1917.7</v>
      </c>
      <c r="AF196" s="33">
        <v>261.70000000000005</v>
      </c>
      <c r="AG196" s="33">
        <v>122.9</v>
      </c>
      <c r="AH196" s="33">
        <v>283.39999999999998</v>
      </c>
      <c r="AI196" s="33">
        <v>280.60000000000002</v>
      </c>
      <c r="AJ196" s="33">
        <v>142.1</v>
      </c>
      <c r="AK196" s="33">
        <v>136</v>
      </c>
      <c r="AL196" s="26">
        <v>3144.4</v>
      </c>
    </row>
    <row r="197" spans="1:38" hidden="1" x14ac:dyDescent="0.35">
      <c r="A197" t="s">
        <v>30</v>
      </c>
      <c r="B197">
        <v>2018</v>
      </c>
      <c r="C197" t="s">
        <v>146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>
        <v>100.3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  <c r="AE197" s="33">
        <v>1947.5999999999997</v>
      </c>
      <c r="AF197" s="33">
        <v>269.20000000000005</v>
      </c>
      <c r="AG197" s="33">
        <v>127.4</v>
      </c>
      <c r="AH197" s="33">
        <v>296</v>
      </c>
      <c r="AI197" s="33">
        <v>242.5</v>
      </c>
      <c r="AJ197" s="33">
        <v>145.1</v>
      </c>
      <c r="AK197" s="33">
        <v>138.4</v>
      </c>
      <c r="AL197" s="26">
        <v>3166.2</v>
      </c>
    </row>
    <row r="198" spans="1:38" hidden="1" x14ac:dyDescent="0.35">
      <c r="A198" t="s">
        <v>54</v>
      </c>
      <c r="B198">
        <v>2018</v>
      </c>
      <c r="C198" t="s">
        <v>146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  <c r="AE198" s="33">
        <v>1908.3000000000002</v>
      </c>
      <c r="AF198" s="33">
        <v>256.7</v>
      </c>
      <c r="AG198" s="33">
        <v>120.4</v>
      </c>
      <c r="AH198" s="33">
        <v>267.60000000000002</v>
      </c>
      <c r="AI198" s="33">
        <v>275.60000000000002</v>
      </c>
      <c r="AJ198" s="33">
        <v>141.19999999999999</v>
      </c>
      <c r="AK198" s="33">
        <v>132.6</v>
      </c>
      <c r="AL198" s="26">
        <v>3102.3999999999996</v>
      </c>
    </row>
    <row r="199" spans="1:38" x14ac:dyDescent="0.35">
      <c r="A199" t="s">
        <v>73</v>
      </c>
      <c r="B199">
        <v>2018</v>
      </c>
      <c r="C199" t="s">
        <v>146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  <c r="AE199" s="33">
        <v>1932.4</v>
      </c>
      <c r="AF199" s="33">
        <v>262.7</v>
      </c>
      <c r="AG199" s="33">
        <v>123.7</v>
      </c>
      <c r="AH199" s="33">
        <v>284.5</v>
      </c>
      <c r="AI199" s="33">
        <v>280.39999999999998</v>
      </c>
      <c r="AJ199" s="33">
        <v>142.80000000000001</v>
      </c>
      <c r="AK199" s="33">
        <v>136.19999999999999</v>
      </c>
      <c r="AL199" s="26">
        <v>3162.7</v>
      </c>
    </row>
    <row r="200" spans="1:38" hidden="1" x14ac:dyDescent="0.35">
      <c r="A200" t="s">
        <v>30</v>
      </c>
      <c r="B200">
        <v>2018</v>
      </c>
      <c r="C200" t="s">
        <v>163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>
        <v>100.3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  <c r="AE200" s="33">
        <v>1966.6000000000001</v>
      </c>
      <c r="AF200" s="33">
        <v>269.8</v>
      </c>
      <c r="AG200" s="33">
        <v>127.5</v>
      </c>
      <c r="AH200" s="33">
        <v>296.60000000000002</v>
      </c>
      <c r="AI200" s="33">
        <v>243.39999999999998</v>
      </c>
      <c r="AJ200" s="33">
        <v>145.80000000000001</v>
      </c>
      <c r="AK200" s="33">
        <v>139</v>
      </c>
      <c r="AL200" s="26">
        <v>3188.7000000000003</v>
      </c>
    </row>
    <row r="201" spans="1:38" hidden="1" x14ac:dyDescent="0.35">
      <c r="A201" t="s">
        <v>54</v>
      </c>
      <c r="B201">
        <v>2018</v>
      </c>
      <c r="C201" t="s">
        <v>163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  <c r="AE201" s="33">
        <v>1932.5</v>
      </c>
      <c r="AF201" s="33">
        <v>257.2</v>
      </c>
      <c r="AG201" s="33">
        <v>120.1</v>
      </c>
      <c r="AH201" s="33">
        <v>268.5</v>
      </c>
      <c r="AI201" s="33">
        <v>277.2</v>
      </c>
      <c r="AJ201" s="33">
        <v>144</v>
      </c>
      <c r="AK201" s="33">
        <v>133.6</v>
      </c>
      <c r="AL201" s="26">
        <v>3133.0999999999995</v>
      </c>
    </row>
    <row r="202" spans="1:38" x14ac:dyDescent="0.35">
      <c r="A202" t="s">
        <v>73</v>
      </c>
      <c r="B202">
        <v>2018</v>
      </c>
      <c r="C202" t="s">
        <v>163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  <c r="AE202" s="33">
        <v>1952.8</v>
      </c>
      <c r="AF202" s="33">
        <v>263.2</v>
      </c>
      <c r="AG202" s="33">
        <v>123.6</v>
      </c>
      <c r="AH202" s="33">
        <v>285.20000000000005</v>
      </c>
      <c r="AI202" s="33">
        <v>282.2</v>
      </c>
      <c r="AJ202" s="33">
        <v>144.69999999999999</v>
      </c>
      <c r="AK202" s="33">
        <v>137</v>
      </c>
      <c r="AL202" s="26">
        <v>3188.7</v>
      </c>
    </row>
    <row r="203" spans="1:38" hidden="1" x14ac:dyDescent="0.35">
      <c r="A203" t="s">
        <v>30</v>
      </c>
      <c r="B203">
        <v>2018</v>
      </c>
      <c r="C203" t="s">
        <v>182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>
        <v>100.3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  <c r="AE203" s="33">
        <v>1975.2</v>
      </c>
      <c r="AF203" s="33">
        <v>269.89999999999998</v>
      </c>
      <c r="AG203" s="33">
        <v>128.30000000000001</v>
      </c>
      <c r="AH203" s="33">
        <v>297.89999999999998</v>
      </c>
      <c r="AI203" s="33">
        <v>244.10000000000002</v>
      </c>
      <c r="AJ203" s="33">
        <v>146.9</v>
      </c>
      <c r="AK203" s="33">
        <v>139.4</v>
      </c>
      <c r="AL203" s="26">
        <v>3201.7000000000003</v>
      </c>
    </row>
    <row r="204" spans="1:38" hidden="1" x14ac:dyDescent="0.35">
      <c r="A204" t="s">
        <v>54</v>
      </c>
      <c r="B204">
        <v>2018</v>
      </c>
      <c r="C204" t="s">
        <v>182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  <c r="AE204" s="33">
        <v>1929.6999999999998</v>
      </c>
      <c r="AF204" s="33">
        <v>258.10000000000002</v>
      </c>
      <c r="AG204" s="33">
        <v>120.7</v>
      </c>
      <c r="AH204" s="33">
        <v>269</v>
      </c>
      <c r="AI204" s="33">
        <v>279</v>
      </c>
      <c r="AJ204" s="33">
        <v>145.30000000000001</v>
      </c>
      <c r="AK204" s="33">
        <v>134.9</v>
      </c>
      <c r="AL204" s="26">
        <v>3136.7</v>
      </c>
    </row>
    <row r="205" spans="1:38" x14ac:dyDescent="0.35">
      <c r="A205" t="s">
        <v>73</v>
      </c>
      <c r="B205">
        <v>2018</v>
      </c>
      <c r="C205" t="s">
        <v>182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  <c r="AE205" s="33">
        <v>1956.6000000000004</v>
      </c>
      <c r="AF205" s="33">
        <v>263.7</v>
      </c>
      <c r="AG205" s="33">
        <v>124.3</v>
      </c>
      <c r="AH205" s="33">
        <v>286.10000000000002</v>
      </c>
      <c r="AI205" s="33">
        <v>284</v>
      </c>
      <c r="AJ205" s="33">
        <v>146</v>
      </c>
      <c r="AK205" s="33">
        <v>137.69999999999999</v>
      </c>
      <c r="AL205" s="26">
        <v>3198.4</v>
      </c>
    </row>
    <row r="206" spans="1:38" hidden="1" x14ac:dyDescent="0.35">
      <c r="A206" t="s">
        <v>30</v>
      </c>
      <c r="B206">
        <v>2018</v>
      </c>
      <c r="C206" t="s">
        <v>197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>
        <v>100.3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  <c r="AE206" s="33">
        <v>1957.5000000000002</v>
      </c>
      <c r="AF206" s="33">
        <v>272</v>
      </c>
      <c r="AG206" s="33">
        <v>129.9</v>
      </c>
      <c r="AH206" s="33">
        <v>298.2</v>
      </c>
      <c r="AI206" s="33">
        <v>244.3</v>
      </c>
      <c r="AJ206" s="33">
        <v>147.6</v>
      </c>
      <c r="AK206" s="33">
        <v>140</v>
      </c>
      <c r="AL206" s="26">
        <v>3189.5</v>
      </c>
    </row>
    <row r="207" spans="1:38" hidden="1" x14ac:dyDescent="0.35">
      <c r="A207" t="s">
        <v>54</v>
      </c>
      <c r="B207">
        <v>2018</v>
      </c>
      <c r="C207" t="s">
        <v>197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  <c r="AE207" s="33">
        <v>1911.7</v>
      </c>
      <c r="AF207" s="33">
        <v>259.5</v>
      </c>
      <c r="AG207" s="33">
        <v>122.5</v>
      </c>
      <c r="AH207" s="33">
        <v>270.10000000000002</v>
      </c>
      <c r="AI207" s="33">
        <v>280.20000000000005</v>
      </c>
      <c r="AJ207" s="33">
        <v>145.19999999999999</v>
      </c>
      <c r="AK207" s="33">
        <v>135.69999999999999</v>
      </c>
      <c r="AL207" s="26">
        <v>3124.8999999999996</v>
      </c>
    </row>
    <row r="208" spans="1:38" x14ac:dyDescent="0.35">
      <c r="A208" t="s">
        <v>73</v>
      </c>
      <c r="B208">
        <v>2018</v>
      </c>
      <c r="C208" t="s">
        <v>197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  <c r="AE208" s="33">
        <v>1938.7</v>
      </c>
      <c r="AF208" s="33">
        <v>265.39999999999998</v>
      </c>
      <c r="AG208" s="33">
        <v>126</v>
      </c>
      <c r="AH208" s="33">
        <v>286.79999999999995</v>
      </c>
      <c r="AI208" s="33">
        <v>285</v>
      </c>
      <c r="AJ208" s="33">
        <v>146.19999999999999</v>
      </c>
      <c r="AK208" s="33">
        <v>138.4</v>
      </c>
      <c r="AL208" s="26">
        <v>3186.4999999999995</v>
      </c>
    </row>
    <row r="209" spans="1:38" hidden="1" x14ac:dyDescent="0.35">
      <c r="A209" t="s">
        <v>30</v>
      </c>
      <c r="B209">
        <v>2018</v>
      </c>
      <c r="C209" t="s">
        <v>207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>
        <v>100.3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  <c r="AE209" s="33">
        <v>1941.8</v>
      </c>
      <c r="AF209" s="33">
        <v>274.5</v>
      </c>
      <c r="AG209" s="33">
        <v>130.80000000000001</v>
      </c>
      <c r="AH209" s="33">
        <v>295.2</v>
      </c>
      <c r="AI209" s="33">
        <v>247.8</v>
      </c>
      <c r="AJ209" s="33">
        <v>148</v>
      </c>
      <c r="AK209" s="33">
        <v>144.80000000000001</v>
      </c>
      <c r="AL209" s="26">
        <v>3182.9000000000005</v>
      </c>
    </row>
    <row r="210" spans="1:38" hidden="1" x14ac:dyDescent="0.35">
      <c r="A210" t="s">
        <v>54</v>
      </c>
      <c r="B210">
        <v>2018</v>
      </c>
      <c r="C210" t="s">
        <v>207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  <c r="AE210" s="33">
        <v>1918.1</v>
      </c>
      <c r="AF210" s="33">
        <v>261.10000000000002</v>
      </c>
      <c r="AG210" s="33">
        <v>123.3</v>
      </c>
      <c r="AH210" s="33">
        <v>271.3</v>
      </c>
      <c r="AI210" s="33">
        <v>281.39999999999998</v>
      </c>
      <c r="AJ210" s="33">
        <v>145.5</v>
      </c>
      <c r="AK210" s="33">
        <v>136.19999999999999</v>
      </c>
      <c r="AL210" s="26">
        <v>3136.9</v>
      </c>
    </row>
    <row r="211" spans="1:38" x14ac:dyDescent="0.35">
      <c r="A211" t="s">
        <v>73</v>
      </c>
      <c r="B211">
        <v>2018</v>
      </c>
      <c r="C211" t="s">
        <v>207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  <c r="AE211" s="33">
        <v>1938.8</v>
      </c>
      <c r="AF211" s="33">
        <v>268.5</v>
      </c>
      <c r="AG211" s="33">
        <v>125.5</v>
      </c>
      <c r="AH211" s="33">
        <v>287.2</v>
      </c>
      <c r="AI211" s="33">
        <v>289.10000000000002</v>
      </c>
      <c r="AJ211" s="33">
        <v>147.80000000000001</v>
      </c>
      <c r="AK211" s="33">
        <v>142.1</v>
      </c>
      <c r="AL211" s="26">
        <v>3199</v>
      </c>
    </row>
    <row r="212" spans="1:38" hidden="1" x14ac:dyDescent="0.35">
      <c r="A212" t="s">
        <v>30</v>
      </c>
      <c r="B212">
        <v>2018</v>
      </c>
      <c r="C212" t="s">
        <v>233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>
        <v>100.3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  <c r="AE212" s="33">
        <v>1949.3999999999996</v>
      </c>
      <c r="AF212" s="33">
        <v>276.2</v>
      </c>
      <c r="AG212" s="33">
        <v>130.30000000000001</v>
      </c>
      <c r="AH212" s="33">
        <v>297.2</v>
      </c>
      <c r="AI212" s="33">
        <v>248.3</v>
      </c>
      <c r="AJ212" s="33">
        <v>150.19999999999999</v>
      </c>
      <c r="AK212" s="33">
        <v>145.4</v>
      </c>
      <c r="AL212" s="26">
        <v>3196.9999999999995</v>
      </c>
    </row>
    <row r="213" spans="1:38" hidden="1" x14ac:dyDescent="0.35">
      <c r="A213" t="s">
        <v>54</v>
      </c>
      <c r="B213">
        <v>2018</v>
      </c>
      <c r="C213" t="s">
        <v>233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  <c r="AE213" s="33">
        <v>1921.8999999999999</v>
      </c>
      <c r="AF213" s="33">
        <v>261.8</v>
      </c>
      <c r="AG213" s="33">
        <v>121.2</v>
      </c>
      <c r="AH213" s="33">
        <v>272.60000000000002</v>
      </c>
      <c r="AI213" s="33">
        <v>282.70000000000005</v>
      </c>
      <c r="AJ213" s="33">
        <v>146.1</v>
      </c>
      <c r="AK213" s="33">
        <v>136.80000000000001</v>
      </c>
      <c r="AL213" s="26">
        <v>3143.1</v>
      </c>
    </row>
    <row r="214" spans="1:38" x14ac:dyDescent="0.35">
      <c r="A214" t="s">
        <v>73</v>
      </c>
      <c r="B214">
        <v>2018</v>
      </c>
      <c r="C214" t="s">
        <v>233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  <c r="AE214" s="33">
        <v>1938.3000000000002</v>
      </c>
      <c r="AF214" s="33">
        <v>268.5</v>
      </c>
      <c r="AG214" s="33">
        <v>125.5</v>
      </c>
      <c r="AH214" s="33">
        <v>287.10000000000002</v>
      </c>
      <c r="AI214" s="33">
        <v>289.10000000000002</v>
      </c>
      <c r="AJ214" s="33">
        <v>147.80000000000001</v>
      </c>
      <c r="AK214" s="33">
        <v>142.1</v>
      </c>
      <c r="AL214" s="26">
        <v>3198.4</v>
      </c>
    </row>
    <row r="215" spans="1:38" hidden="1" x14ac:dyDescent="0.35">
      <c r="A215" t="s">
        <v>30</v>
      </c>
      <c r="B215">
        <v>2018</v>
      </c>
      <c r="C215" t="s">
        <v>242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>
        <v>100.3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  <c r="AE215" s="33">
        <v>1935.5000000000002</v>
      </c>
      <c r="AF215" s="33">
        <v>276.5</v>
      </c>
      <c r="AG215" s="33">
        <v>128.9</v>
      </c>
      <c r="AH215" s="33">
        <v>297.5</v>
      </c>
      <c r="AI215" s="33">
        <v>249.8</v>
      </c>
      <c r="AJ215" s="33">
        <v>155.1</v>
      </c>
      <c r="AK215" s="33">
        <v>149.6</v>
      </c>
      <c r="AL215" s="26">
        <v>3192.9</v>
      </c>
    </row>
    <row r="216" spans="1:38" hidden="1" x14ac:dyDescent="0.35">
      <c r="A216" t="s">
        <v>54</v>
      </c>
      <c r="B216">
        <v>2018</v>
      </c>
      <c r="C216" t="s">
        <v>242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  <c r="AE216" s="33">
        <v>1911.1999999999998</v>
      </c>
      <c r="AF216" s="33">
        <v>262.5</v>
      </c>
      <c r="AG216" s="33">
        <v>118.8</v>
      </c>
      <c r="AH216" s="33">
        <v>273</v>
      </c>
      <c r="AI216" s="33">
        <v>282.7</v>
      </c>
      <c r="AJ216" s="33">
        <v>146.5</v>
      </c>
      <c r="AK216" s="33">
        <v>137.30000000000001</v>
      </c>
      <c r="AL216" s="26">
        <v>3132</v>
      </c>
    </row>
    <row r="217" spans="1:38" x14ac:dyDescent="0.35">
      <c r="A217" t="s">
        <v>73</v>
      </c>
      <c r="B217">
        <v>2018</v>
      </c>
      <c r="C217" t="s">
        <v>242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  <c r="AE217" s="33">
        <v>1925.7999999999997</v>
      </c>
      <c r="AF217" s="33">
        <v>269</v>
      </c>
      <c r="AG217" s="33">
        <v>123.6</v>
      </c>
      <c r="AH217" s="33">
        <v>287.5</v>
      </c>
      <c r="AI217" s="33">
        <v>289.7</v>
      </c>
      <c r="AJ217" s="33">
        <v>150.1</v>
      </c>
      <c r="AK217" s="33">
        <v>144.9</v>
      </c>
      <c r="AL217" s="26">
        <v>3190.5999999999995</v>
      </c>
    </row>
    <row r="218" spans="1:38" hidden="1" x14ac:dyDescent="0.3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>
        <v>100.3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  <c r="AE218" s="33">
        <v>1922.3000000000002</v>
      </c>
      <c r="AF218" s="33">
        <v>276.39999999999998</v>
      </c>
      <c r="AG218" s="33">
        <v>128.6</v>
      </c>
      <c r="AH218" s="33">
        <v>295.7</v>
      </c>
      <c r="AI218" s="33">
        <v>250.39999999999998</v>
      </c>
      <c r="AJ218" s="33">
        <v>155.19999999999999</v>
      </c>
      <c r="AK218" s="33">
        <v>149.6</v>
      </c>
      <c r="AL218" s="26">
        <v>3178.2</v>
      </c>
    </row>
    <row r="219" spans="1:38" hidden="1" x14ac:dyDescent="0.35">
      <c r="A219" t="s">
        <v>54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  <c r="AE219" s="33">
        <v>1909.0000000000002</v>
      </c>
      <c r="AF219" s="33">
        <v>263.60000000000002</v>
      </c>
      <c r="AG219" s="33">
        <v>118.6</v>
      </c>
      <c r="AH219" s="33">
        <v>273.39999999999998</v>
      </c>
      <c r="AI219" s="33">
        <v>284</v>
      </c>
      <c r="AJ219" s="33">
        <v>146.6</v>
      </c>
      <c r="AK219" s="33">
        <v>137.80000000000001</v>
      </c>
      <c r="AL219" s="26">
        <v>3133.0000000000005</v>
      </c>
    </row>
    <row r="220" spans="1:38" x14ac:dyDescent="0.35">
      <c r="A220" t="s">
        <v>73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  <c r="AE220" s="33">
        <v>1916.6</v>
      </c>
      <c r="AF220" s="33">
        <v>269.5</v>
      </c>
      <c r="AG220" s="33">
        <v>123.3</v>
      </c>
      <c r="AH220" s="33">
        <v>286.60000000000002</v>
      </c>
      <c r="AI220" s="33">
        <v>291.29999999999995</v>
      </c>
      <c r="AJ220" s="33">
        <v>150.19999999999999</v>
      </c>
      <c r="AK220" s="33">
        <v>145.1</v>
      </c>
      <c r="AL220" s="26">
        <v>3182.6</v>
      </c>
    </row>
    <row r="221" spans="1:38" hidden="1" x14ac:dyDescent="0.35">
      <c r="A221" t="s">
        <v>30</v>
      </c>
      <c r="B221">
        <v>2019</v>
      </c>
      <c r="C221" t="s">
        <v>85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>
        <v>100.3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  <c r="AE221" s="33">
        <v>1922.6000000000001</v>
      </c>
      <c r="AF221" s="33">
        <v>278.3</v>
      </c>
      <c r="AG221" s="33">
        <v>129.19999999999999</v>
      </c>
      <c r="AH221" s="33">
        <v>296.60000000000002</v>
      </c>
      <c r="AI221" s="33">
        <v>250.39999999999998</v>
      </c>
      <c r="AJ221" s="33">
        <v>155.5</v>
      </c>
      <c r="AK221" s="33">
        <v>149.9</v>
      </c>
      <c r="AL221" s="26">
        <v>3182.5</v>
      </c>
    </row>
    <row r="222" spans="1:38" hidden="1" x14ac:dyDescent="0.35">
      <c r="A222" t="s">
        <v>54</v>
      </c>
      <c r="B222">
        <v>2019</v>
      </c>
      <c r="C222" t="s">
        <v>85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  <c r="AE222" s="33">
        <v>1919.3000000000002</v>
      </c>
      <c r="AF222" s="33">
        <v>265.2</v>
      </c>
      <c r="AG222" s="33">
        <v>119.2</v>
      </c>
      <c r="AH222" s="33">
        <v>274.10000000000002</v>
      </c>
      <c r="AI222" s="33">
        <v>285.10000000000002</v>
      </c>
      <c r="AJ222" s="33">
        <v>146.6</v>
      </c>
      <c r="AK222" s="33">
        <v>138.5</v>
      </c>
      <c r="AL222" s="26">
        <v>3147.9999999999995</v>
      </c>
    </row>
    <row r="223" spans="1:38" x14ac:dyDescent="0.35">
      <c r="A223" t="s">
        <v>73</v>
      </c>
      <c r="B223">
        <v>2019</v>
      </c>
      <c r="C223" t="s">
        <v>85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  <c r="AE223" s="33">
        <v>1920.5</v>
      </c>
      <c r="AF223" s="33">
        <v>271.2</v>
      </c>
      <c r="AG223" s="33">
        <v>123.9</v>
      </c>
      <c r="AH223" s="33">
        <v>287.39999999999998</v>
      </c>
      <c r="AI223" s="33">
        <v>292.2</v>
      </c>
      <c r="AJ223" s="33">
        <v>150.30000000000001</v>
      </c>
      <c r="AK223" s="33">
        <v>145.6</v>
      </c>
      <c r="AL223" s="26">
        <v>3191.1</v>
      </c>
    </row>
    <row r="224" spans="1:38" hidden="1" x14ac:dyDescent="0.35">
      <c r="A224" t="s">
        <v>30</v>
      </c>
      <c r="B224">
        <v>2019</v>
      </c>
      <c r="C224" t="s">
        <v>107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>
        <v>100.3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  <c r="AE224" s="33">
        <v>1924.1000000000004</v>
      </c>
      <c r="AF224" s="33">
        <v>277.8</v>
      </c>
      <c r="AG224" s="33">
        <v>129.9</v>
      </c>
      <c r="AH224" s="33">
        <v>296.89999999999998</v>
      </c>
      <c r="AI224" s="33">
        <v>250.3</v>
      </c>
      <c r="AJ224" s="33">
        <v>155.5</v>
      </c>
      <c r="AK224" s="33">
        <v>150.4</v>
      </c>
      <c r="AL224" s="26">
        <v>3184.900000000001</v>
      </c>
    </row>
    <row r="225" spans="1:38" hidden="1" x14ac:dyDescent="0.35">
      <c r="A225" t="s">
        <v>54</v>
      </c>
      <c r="B225">
        <v>2019</v>
      </c>
      <c r="C225" t="s">
        <v>107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  <c r="AE225" s="33">
        <v>1933.7</v>
      </c>
      <c r="AF225" s="33">
        <v>265.5</v>
      </c>
      <c r="AG225" s="33">
        <v>119.9</v>
      </c>
      <c r="AH225" s="33">
        <v>274.7</v>
      </c>
      <c r="AI225" s="33">
        <v>285.8</v>
      </c>
      <c r="AJ225" s="33">
        <v>146.69999999999999</v>
      </c>
      <c r="AK225" s="33">
        <v>139.19999999999999</v>
      </c>
      <c r="AL225" s="26">
        <v>3165.4999999999995</v>
      </c>
    </row>
    <row r="226" spans="1:38" x14ac:dyDescent="0.35">
      <c r="A226" t="s">
        <v>73</v>
      </c>
      <c r="B226">
        <v>2019</v>
      </c>
      <c r="C226" t="s">
        <v>107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  <c r="AE226" s="33">
        <v>1926.4</v>
      </c>
      <c r="AF226" s="33">
        <v>271.10000000000002</v>
      </c>
      <c r="AG226" s="33">
        <v>124.6</v>
      </c>
      <c r="AH226" s="33">
        <v>287.8</v>
      </c>
      <c r="AI226" s="33">
        <v>292.8</v>
      </c>
      <c r="AJ226" s="33">
        <v>150.30000000000001</v>
      </c>
      <c r="AK226" s="33">
        <v>146.19999999999999</v>
      </c>
      <c r="AL226" s="26">
        <v>3199.2000000000003</v>
      </c>
    </row>
    <row r="227" spans="1:38" hidden="1" x14ac:dyDescent="0.35">
      <c r="A227" t="s">
        <v>30</v>
      </c>
      <c r="B227">
        <v>2019</v>
      </c>
      <c r="C227" t="s">
        <v>136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>
        <v>100.3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  <c r="AE227" s="33">
        <v>1945.4</v>
      </c>
      <c r="AF227" s="33">
        <v>279.8</v>
      </c>
      <c r="AG227" s="33">
        <v>130.19999999999999</v>
      </c>
      <c r="AH227" s="33">
        <v>297.89999999999998</v>
      </c>
      <c r="AI227" s="33">
        <v>249.8</v>
      </c>
      <c r="AJ227" s="33">
        <v>156.69999999999999</v>
      </c>
      <c r="AK227" s="33">
        <v>151.30000000000001</v>
      </c>
      <c r="AL227" s="26">
        <v>3211.1000000000004</v>
      </c>
    </row>
    <row r="228" spans="1:38" hidden="1" x14ac:dyDescent="0.35">
      <c r="A228" t="s">
        <v>54</v>
      </c>
      <c r="B228">
        <v>2019</v>
      </c>
      <c r="C228" t="s">
        <v>136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  <c r="AE228" s="33">
        <v>1977.7000000000003</v>
      </c>
      <c r="AF228" s="33">
        <v>266.60000000000002</v>
      </c>
      <c r="AG228" s="33">
        <v>120.1</v>
      </c>
      <c r="AH228" s="33">
        <v>275.7</v>
      </c>
      <c r="AI228" s="33">
        <v>287.29999999999995</v>
      </c>
      <c r="AJ228" s="33">
        <v>148</v>
      </c>
      <c r="AK228" s="33">
        <v>139.80000000000001</v>
      </c>
      <c r="AL228" s="26">
        <v>3215.2</v>
      </c>
    </row>
    <row r="229" spans="1:38" x14ac:dyDescent="0.35">
      <c r="A229" t="s">
        <v>73</v>
      </c>
      <c r="B229">
        <v>2019</v>
      </c>
      <c r="C229" t="s">
        <v>136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  <c r="AE229" s="33">
        <v>1956.0000000000002</v>
      </c>
      <c r="AF229" s="33">
        <v>272.60000000000002</v>
      </c>
      <c r="AG229" s="33">
        <v>124.9</v>
      </c>
      <c r="AH229" s="33">
        <v>288.8</v>
      </c>
      <c r="AI229" s="33">
        <v>293.79999999999995</v>
      </c>
      <c r="AJ229" s="33">
        <v>151.6</v>
      </c>
      <c r="AK229" s="33">
        <v>146.9</v>
      </c>
      <c r="AL229" s="26">
        <v>3234.6000000000004</v>
      </c>
    </row>
    <row r="230" spans="1:38" hidden="1" x14ac:dyDescent="0.35">
      <c r="A230" t="s">
        <v>30</v>
      </c>
      <c r="B230">
        <v>2019</v>
      </c>
      <c r="C230" t="s">
        <v>146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>
        <v>100.3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  <c r="AE230" s="33">
        <v>1968.3999999999999</v>
      </c>
      <c r="AF230" s="33">
        <v>281.20000000000005</v>
      </c>
      <c r="AG230" s="33">
        <v>130.19999999999999</v>
      </c>
      <c r="AH230" s="33">
        <v>297.89999999999998</v>
      </c>
      <c r="AI230" s="33">
        <v>249.89999999999998</v>
      </c>
      <c r="AJ230" s="33">
        <v>157.69999999999999</v>
      </c>
      <c r="AK230" s="33">
        <v>151.69999999999999</v>
      </c>
      <c r="AL230" s="26">
        <v>3236.9999999999995</v>
      </c>
    </row>
    <row r="231" spans="1:38" hidden="1" x14ac:dyDescent="0.35">
      <c r="A231" t="s">
        <v>54</v>
      </c>
      <c r="B231">
        <v>2019</v>
      </c>
      <c r="C231" t="s">
        <v>146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  <c r="AE231" s="33">
        <v>1999.9999999999998</v>
      </c>
      <c r="AF231" s="33">
        <v>268</v>
      </c>
      <c r="AG231" s="33">
        <v>119.6</v>
      </c>
      <c r="AH231" s="33">
        <v>276</v>
      </c>
      <c r="AI231" s="33">
        <v>286.8</v>
      </c>
      <c r="AJ231" s="33">
        <v>148.9</v>
      </c>
      <c r="AK231" s="33">
        <v>140.30000000000001</v>
      </c>
      <c r="AL231" s="26">
        <v>3239.6000000000004</v>
      </c>
    </row>
    <row r="232" spans="1:38" x14ac:dyDescent="0.35">
      <c r="A232" t="s">
        <v>73</v>
      </c>
      <c r="B232">
        <v>2019</v>
      </c>
      <c r="C232" t="s">
        <v>146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  <c r="AE232" s="33">
        <v>1979.0000000000002</v>
      </c>
      <c r="AF232" s="33">
        <v>273.89999999999998</v>
      </c>
      <c r="AG232" s="33">
        <v>124.6</v>
      </c>
      <c r="AH232" s="33">
        <v>289</v>
      </c>
      <c r="AI232" s="33">
        <v>293.20000000000005</v>
      </c>
      <c r="AJ232" s="33">
        <v>152.5</v>
      </c>
      <c r="AK232" s="33">
        <v>147.4</v>
      </c>
      <c r="AL232" s="26">
        <v>3259.6</v>
      </c>
    </row>
    <row r="233" spans="1:38" hidden="1" x14ac:dyDescent="0.35">
      <c r="A233" t="s">
        <v>30</v>
      </c>
      <c r="B233">
        <v>2019</v>
      </c>
      <c r="C233" t="s">
        <v>163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>
        <v>100.3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  <c r="AE233" s="33">
        <v>1991.3999999999999</v>
      </c>
      <c r="AF233" s="33">
        <v>283.60000000000002</v>
      </c>
      <c r="AG233" s="33">
        <v>131.19999999999999</v>
      </c>
      <c r="AH233" s="33">
        <v>298.2</v>
      </c>
      <c r="AI233" s="33">
        <v>250.3</v>
      </c>
      <c r="AJ233" s="33">
        <v>159.1</v>
      </c>
      <c r="AK233" s="33">
        <v>152.19999999999999</v>
      </c>
      <c r="AL233" s="26">
        <v>3265.9999999999995</v>
      </c>
    </row>
    <row r="234" spans="1:38" hidden="1" x14ac:dyDescent="0.35">
      <c r="A234" t="s">
        <v>54</v>
      </c>
      <c r="B234">
        <v>2019</v>
      </c>
      <c r="C234" t="s">
        <v>163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  <c r="AE234" s="33">
        <v>2024.6</v>
      </c>
      <c r="AF234" s="33">
        <v>270.10000000000002</v>
      </c>
      <c r="AG234" s="33">
        <v>120.6</v>
      </c>
      <c r="AH234" s="33">
        <v>276.60000000000002</v>
      </c>
      <c r="AI234" s="33">
        <v>288.29999999999995</v>
      </c>
      <c r="AJ234" s="33">
        <v>150.4</v>
      </c>
      <c r="AK234" s="33">
        <v>140.80000000000001</v>
      </c>
      <c r="AL234" s="26">
        <v>3271.4</v>
      </c>
    </row>
    <row r="235" spans="1:38" x14ac:dyDescent="0.35">
      <c r="A235" t="s">
        <v>73</v>
      </c>
      <c r="B235">
        <v>2019</v>
      </c>
      <c r="C235" t="s">
        <v>163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  <c r="AE235" s="33">
        <v>2002.7</v>
      </c>
      <c r="AF235" s="33">
        <v>276.2</v>
      </c>
      <c r="AG235" s="33">
        <v>125.6</v>
      </c>
      <c r="AH235" s="33">
        <v>289.39999999999998</v>
      </c>
      <c r="AI235" s="33">
        <v>294.79999999999995</v>
      </c>
      <c r="AJ235" s="33">
        <v>154</v>
      </c>
      <c r="AK235" s="33">
        <v>147.9</v>
      </c>
      <c r="AL235" s="26">
        <v>3290.6</v>
      </c>
    </row>
    <row r="236" spans="1:38" hidden="1" x14ac:dyDescent="0.35">
      <c r="A236" t="s">
        <v>30</v>
      </c>
      <c r="B236">
        <v>2019</v>
      </c>
      <c r="C236" t="s">
        <v>182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>
        <v>100.3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  <c r="AE236" s="33">
        <v>1999.6000000000001</v>
      </c>
      <c r="AF236" s="33">
        <v>286.8</v>
      </c>
      <c r="AG236" s="33">
        <v>131.4</v>
      </c>
      <c r="AH236" s="33">
        <v>298.39999999999998</v>
      </c>
      <c r="AI236" s="33">
        <v>250.5</v>
      </c>
      <c r="AJ236" s="33">
        <v>159.69999999999999</v>
      </c>
      <c r="AK236" s="33">
        <v>152.69999999999999</v>
      </c>
      <c r="AL236" s="26">
        <v>3279.1</v>
      </c>
    </row>
    <row r="237" spans="1:38" hidden="1" x14ac:dyDescent="0.35">
      <c r="A237" t="s">
        <v>54</v>
      </c>
      <c r="B237">
        <v>2019</v>
      </c>
      <c r="C237" t="s">
        <v>182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  <c r="AE237" s="33">
        <v>2037</v>
      </c>
      <c r="AF237" s="33">
        <v>273.20000000000005</v>
      </c>
      <c r="AG237" s="33">
        <v>120.8</v>
      </c>
      <c r="AH237" s="33">
        <v>277.2</v>
      </c>
      <c r="AI237" s="33">
        <v>289.7</v>
      </c>
      <c r="AJ237" s="33">
        <v>151.5</v>
      </c>
      <c r="AK237" s="33">
        <v>141.5</v>
      </c>
      <c r="AL237" s="26">
        <v>3290.8999999999996</v>
      </c>
    </row>
    <row r="238" spans="1:38" x14ac:dyDescent="0.35">
      <c r="A238" t="s">
        <v>73</v>
      </c>
      <c r="B238">
        <v>2019</v>
      </c>
      <c r="C238" t="s">
        <v>182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  <c r="AE238" s="33">
        <v>2012.3</v>
      </c>
      <c r="AF238" s="33">
        <v>279.3</v>
      </c>
      <c r="AG238" s="33">
        <v>125.8</v>
      </c>
      <c r="AH238" s="33">
        <v>289.7</v>
      </c>
      <c r="AI238" s="33">
        <v>296.10000000000002</v>
      </c>
      <c r="AJ238" s="33">
        <v>154.9</v>
      </c>
      <c r="AK238" s="33">
        <v>148.5</v>
      </c>
      <c r="AL238" s="26">
        <v>3306.6</v>
      </c>
    </row>
    <row r="239" spans="1:38" hidden="1" x14ac:dyDescent="0.35">
      <c r="A239" t="s">
        <v>30</v>
      </c>
      <c r="B239">
        <v>2019</v>
      </c>
      <c r="C239" t="s">
        <v>197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>
        <v>100.3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  <c r="AE239" s="33">
        <v>2014.4</v>
      </c>
      <c r="AF239" s="33">
        <v>288.5</v>
      </c>
      <c r="AG239" s="33">
        <v>131.6</v>
      </c>
      <c r="AH239" s="33">
        <v>298.29999999999995</v>
      </c>
      <c r="AI239" s="33">
        <v>250.60000000000002</v>
      </c>
      <c r="AJ239" s="33">
        <v>160.19999999999999</v>
      </c>
      <c r="AK239" s="33">
        <v>153.4</v>
      </c>
      <c r="AL239" s="26">
        <v>3297</v>
      </c>
    </row>
    <row r="240" spans="1:38" hidden="1" x14ac:dyDescent="0.35">
      <c r="A240" t="s">
        <v>54</v>
      </c>
      <c r="B240">
        <v>2019</v>
      </c>
      <c r="C240" t="s">
        <v>197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  <c r="AE240" s="33">
        <v>2043.5</v>
      </c>
      <c r="AF240" s="33">
        <v>274.89999999999998</v>
      </c>
      <c r="AG240" s="33">
        <v>121.2</v>
      </c>
      <c r="AH240" s="33">
        <v>277.5</v>
      </c>
      <c r="AI240" s="33">
        <v>290.5</v>
      </c>
      <c r="AJ240" s="33">
        <v>151.6</v>
      </c>
      <c r="AK240" s="33">
        <v>141.9</v>
      </c>
      <c r="AL240" s="26">
        <v>3301.1</v>
      </c>
    </row>
    <row r="241" spans="1:38" x14ac:dyDescent="0.35">
      <c r="A241" t="s">
        <v>73</v>
      </c>
      <c r="B241">
        <v>2019</v>
      </c>
      <c r="C241" t="s">
        <v>197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  <c r="AE241" s="33">
        <v>2024.1999999999998</v>
      </c>
      <c r="AF241" s="33">
        <v>281</v>
      </c>
      <c r="AG241" s="33">
        <v>126.1</v>
      </c>
      <c r="AH241" s="33">
        <v>289.79999999999995</v>
      </c>
      <c r="AI241" s="33">
        <v>296.79999999999995</v>
      </c>
      <c r="AJ241" s="33">
        <v>155.19999999999999</v>
      </c>
      <c r="AK241" s="33">
        <v>149</v>
      </c>
      <c r="AL241" s="26">
        <v>3322.0999999999995</v>
      </c>
    </row>
    <row r="242" spans="1:38" hidden="1" x14ac:dyDescent="0.35">
      <c r="A242" t="s">
        <v>30</v>
      </c>
      <c r="B242">
        <v>2019</v>
      </c>
      <c r="C242" t="s">
        <v>207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>
        <v>100.3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  <c r="AE242" s="33">
        <v>2043.1999999999996</v>
      </c>
      <c r="AF242" s="33">
        <v>289</v>
      </c>
      <c r="AG242" s="33">
        <v>131.69999999999999</v>
      </c>
      <c r="AH242" s="33">
        <v>298.39999999999998</v>
      </c>
      <c r="AI242" s="33">
        <v>250.89999999999998</v>
      </c>
      <c r="AJ242" s="33">
        <v>160.69999999999999</v>
      </c>
      <c r="AK242" s="33">
        <v>153.69999999999999</v>
      </c>
      <c r="AL242" s="26">
        <v>3327.5999999999995</v>
      </c>
    </row>
    <row r="243" spans="1:38" hidden="1" x14ac:dyDescent="0.35">
      <c r="A243" t="s">
        <v>54</v>
      </c>
      <c r="B243">
        <v>2019</v>
      </c>
      <c r="C243" t="s">
        <v>207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  <c r="AE243" s="33">
        <v>2071.9</v>
      </c>
      <c r="AF243" s="33">
        <v>275.7</v>
      </c>
      <c r="AG243" s="33">
        <v>121.5</v>
      </c>
      <c r="AH243" s="33">
        <v>278.3</v>
      </c>
      <c r="AI243" s="33">
        <v>291.7</v>
      </c>
      <c r="AJ243" s="33">
        <v>151.69999999999999</v>
      </c>
      <c r="AK243" s="33">
        <v>142.4</v>
      </c>
      <c r="AL243" s="26">
        <v>3333.2</v>
      </c>
    </row>
    <row r="244" spans="1:38" x14ac:dyDescent="0.35">
      <c r="A244" t="s">
        <v>73</v>
      </c>
      <c r="B244">
        <v>2019</v>
      </c>
      <c r="C244" t="s">
        <v>207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  <c r="AE244" s="33">
        <v>2052.6999999999998</v>
      </c>
      <c r="AF244" s="33">
        <v>281.7</v>
      </c>
      <c r="AG244" s="33">
        <v>126.3</v>
      </c>
      <c r="AH244" s="33">
        <v>290.20000000000005</v>
      </c>
      <c r="AI244" s="33">
        <v>298</v>
      </c>
      <c r="AJ244" s="33">
        <v>155.4</v>
      </c>
      <c r="AK244" s="33">
        <v>149.4</v>
      </c>
      <c r="AL244" s="26">
        <v>3353.7</v>
      </c>
    </row>
    <row r="245" spans="1:38" hidden="1" x14ac:dyDescent="0.35">
      <c r="A245" t="s">
        <v>30</v>
      </c>
      <c r="B245">
        <v>2019</v>
      </c>
      <c r="C245" t="s">
        <v>233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>
        <v>100.3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  <c r="AE245" s="33">
        <v>2071.8000000000002</v>
      </c>
      <c r="AF245" s="33">
        <v>289.7</v>
      </c>
      <c r="AG245" s="33">
        <v>132.1</v>
      </c>
      <c r="AH245" s="33">
        <v>299.3</v>
      </c>
      <c r="AI245" s="33">
        <v>251.2</v>
      </c>
      <c r="AJ245" s="33">
        <v>160.80000000000001</v>
      </c>
      <c r="AK245" s="33">
        <v>154.30000000000001</v>
      </c>
      <c r="AL245" s="26">
        <v>3359.2000000000003</v>
      </c>
    </row>
    <row r="246" spans="1:38" hidden="1" x14ac:dyDescent="0.35">
      <c r="A246" t="s">
        <v>54</v>
      </c>
      <c r="B246">
        <v>2019</v>
      </c>
      <c r="C246" t="s">
        <v>233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  <c r="AE246" s="33">
        <v>2093.8999999999996</v>
      </c>
      <c r="AF246" s="33">
        <v>276.5</v>
      </c>
      <c r="AG246" s="33">
        <v>121.7</v>
      </c>
      <c r="AH246" s="33">
        <v>278.89999999999998</v>
      </c>
      <c r="AI246" s="33">
        <v>292.60000000000002</v>
      </c>
      <c r="AJ246" s="33">
        <v>151.80000000000001</v>
      </c>
      <c r="AK246" s="33">
        <v>142.80000000000001</v>
      </c>
      <c r="AL246" s="26">
        <v>3358.2</v>
      </c>
    </row>
    <row r="247" spans="1:38" x14ac:dyDescent="0.35">
      <c r="A247" t="s">
        <v>73</v>
      </c>
      <c r="B247">
        <v>2019</v>
      </c>
      <c r="C247" t="s">
        <v>233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  <c r="AE247" s="33">
        <v>2078.8000000000002</v>
      </c>
      <c r="AF247" s="33">
        <v>282.39999999999998</v>
      </c>
      <c r="AG247" s="33">
        <v>126.6</v>
      </c>
      <c r="AH247" s="33">
        <v>290.89999999999998</v>
      </c>
      <c r="AI247" s="33">
        <v>298.8</v>
      </c>
      <c r="AJ247" s="33">
        <v>155.5</v>
      </c>
      <c r="AK247" s="33">
        <v>149.9</v>
      </c>
      <c r="AL247" s="26">
        <v>3382.9000000000005</v>
      </c>
    </row>
    <row r="248" spans="1:38" hidden="1" x14ac:dyDescent="0.35">
      <c r="A248" t="s">
        <v>30</v>
      </c>
      <c r="B248">
        <v>2019</v>
      </c>
      <c r="C248" t="s">
        <v>242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>
        <v>100.3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  <c r="AE248" s="33">
        <v>2108.7999999999997</v>
      </c>
      <c r="AF248" s="33">
        <v>290.10000000000002</v>
      </c>
      <c r="AG248" s="33">
        <v>135</v>
      </c>
      <c r="AH248" s="33">
        <v>299.89999999999998</v>
      </c>
      <c r="AI248" s="33">
        <v>251.5</v>
      </c>
      <c r="AJ248" s="33">
        <v>161.1</v>
      </c>
      <c r="AK248" s="33">
        <v>154.80000000000001</v>
      </c>
      <c r="AL248" s="26">
        <v>3401.2</v>
      </c>
    </row>
    <row r="249" spans="1:38" hidden="1" x14ac:dyDescent="0.35">
      <c r="A249" t="s">
        <v>54</v>
      </c>
      <c r="B249">
        <v>2019</v>
      </c>
      <c r="C249" t="s">
        <v>242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  <c r="AE249" s="33">
        <v>2127.1</v>
      </c>
      <c r="AF249" s="33">
        <v>277</v>
      </c>
      <c r="AG249" s="33">
        <v>125.2</v>
      </c>
      <c r="AH249" s="33">
        <v>279.60000000000002</v>
      </c>
      <c r="AI249" s="33">
        <v>292.60000000000002</v>
      </c>
      <c r="AJ249" s="33">
        <v>151.9</v>
      </c>
      <c r="AK249" s="33">
        <v>143.19999999999999</v>
      </c>
      <c r="AL249" s="26">
        <v>3396.5999999999995</v>
      </c>
    </row>
    <row r="250" spans="1:38" x14ac:dyDescent="0.35">
      <c r="A250" t="s">
        <v>73</v>
      </c>
      <c r="B250">
        <v>2019</v>
      </c>
      <c r="C250" t="s">
        <v>242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  <c r="AE250" s="33">
        <v>2114.6000000000004</v>
      </c>
      <c r="AF250" s="33">
        <v>282.70000000000005</v>
      </c>
      <c r="AG250" s="33">
        <v>129.80000000000001</v>
      </c>
      <c r="AH250" s="33">
        <v>291.60000000000002</v>
      </c>
      <c r="AI250" s="33">
        <v>298.60000000000002</v>
      </c>
      <c r="AJ250" s="33">
        <v>155.69999999999999</v>
      </c>
      <c r="AK250" s="33">
        <v>150.4</v>
      </c>
      <c r="AL250" s="26">
        <v>3423.4</v>
      </c>
    </row>
    <row r="251" spans="1:38" hidden="1" x14ac:dyDescent="0.3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>
        <v>100.3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  <c r="AE251" s="33">
        <v>2107.1999999999998</v>
      </c>
      <c r="AF251" s="33">
        <v>292.60000000000002</v>
      </c>
      <c r="AG251" s="33">
        <v>136.30000000000001</v>
      </c>
      <c r="AH251" s="33">
        <v>300.20000000000005</v>
      </c>
      <c r="AI251" s="33">
        <v>252</v>
      </c>
      <c r="AJ251" s="33">
        <v>161.69999999999999</v>
      </c>
      <c r="AK251" s="33">
        <v>155.69999999999999</v>
      </c>
      <c r="AL251" s="26">
        <v>3405.7</v>
      </c>
    </row>
    <row r="252" spans="1:38" hidden="1" x14ac:dyDescent="0.35">
      <c r="A252" t="s">
        <v>54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  <c r="AE252" s="33">
        <v>2116.1999999999998</v>
      </c>
      <c r="AF252" s="33">
        <v>279.29999999999995</v>
      </c>
      <c r="AG252" s="33">
        <v>126.1</v>
      </c>
      <c r="AH252" s="33">
        <v>280.2</v>
      </c>
      <c r="AI252" s="33">
        <v>294</v>
      </c>
      <c r="AJ252" s="33">
        <v>152.1</v>
      </c>
      <c r="AK252" s="33">
        <v>143.80000000000001</v>
      </c>
      <c r="AL252" s="26">
        <v>3391.7</v>
      </c>
    </row>
    <row r="253" spans="1:38" x14ac:dyDescent="0.35">
      <c r="A253" t="s">
        <v>73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  <c r="AE253" s="33">
        <v>2109.6</v>
      </c>
      <c r="AF253" s="33">
        <v>285.10000000000002</v>
      </c>
      <c r="AG253" s="33">
        <v>130.9</v>
      </c>
      <c r="AH253" s="33">
        <v>292</v>
      </c>
      <c r="AI253" s="33">
        <v>300.10000000000002</v>
      </c>
      <c r="AJ253" s="33">
        <v>156.1</v>
      </c>
      <c r="AK253" s="33">
        <v>151.19999999999999</v>
      </c>
      <c r="AL253" s="26">
        <v>3424.9999999999995</v>
      </c>
    </row>
    <row r="254" spans="1:38" hidden="1" x14ac:dyDescent="0.35">
      <c r="A254" t="s">
        <v>30</v>
      </c>
      <c r="B254">
        <v>2020</v>
      </c>
      <c r="C254" t="s">
        <v>85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>
        <v>100.3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  <c r="AE254" s="33">
        <v>2079.1999999999998</v>
      </c>
      <c r="AF254" s="33">
        <v>293.8</v>
      </c>
      <c r="AG254" s="33">
        <v>136</v>
      </c>
      <c r="AH254" s="33">
        <v>300.5</v>
      </c>
      <c r="AI254" s="33">
        <v>252.10000000000002</v>
      </c>
      <c r="AJ254" s="33">
        <v>161.9</v>
      </c>
      <c r="AK254" s="33">
        <v>156.19999999999999</v>
      </c>
      <c r="AL254" s="26">
        <v>3379.7</v>
      </c>
    </row>
    <row r="255" spans="1:38" hidden="1" x14ac:dyDescent="0.35">
      <c r="A255" t="s">
        <v>54</v>
      </c>
      <c r="B255">
        <v>2020</v>
      </c>
      <c r="C255" t="s">
        <v>85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  <c r="AE255" s="33">
        <v>2088.6</v>
      </c>
      <c r="AF255" s="33">
        <v>281.2</v>
      </c>
      <c r="AG255" s="33">
        <v>125.2</v>
      </c>
      <c r="AH255" s="33">
        <v>280.8</v>
      </c>
      <c r="AI255" s="33">
        <v>295.20000000000005</v>
      </c>
      <c r="AJ255" s="33">
        <v>152.19999999999999</v>
      </c>
      <c r="AK255" s="33">
        <v>144.4</v>
      </c>
      <c r="AL255" s="26">
        <v>3367.6</v>
      </c>
    </row>
    <row r="256" spans="1:38" x14ac:dyDescent="0.35">
      <c r="A256" t="s">
        <v>73</v>
      </c>
      <c r="B256">
        <v>2020</v>
      </c>
      <c r="C256" t="s">
        <v>85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  <c r="AE256" s="33">
        <v>2081.6999999999998</v>
      </c>
      <c r="AF256" s="33">
        <v>286.60000000000002</v>
      </c>
      <c r="AG256" s="33">
        <v>130.30000000000001</v>
      </c>
      <c r="AH256" s="33">
        <v>292.5</v>
      </c>
      <c r="AI256" s="33">
        <v>301.20000000000005</v>
      </c>
      <c r="AJ256" s="33">
        <v>156.19999999999999</v>
      </c>
      <c r="AK256" s="33">
        <v>151.69999999999999</v>
      </c>
      <c r="AL256" s="26">
        <v>3400.2</v>
      </c>
    </row>
    <row r="257" spans="1:38" hidden="1" x14ac:dyDescent="0.35">
      <c r="A257" t="s">
        <v>30</v>
      </c>
      <c r="B257">
        <v>2020</v>
      </c>
      <c r="C257" t="s">
        <v>107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>
        <v>100.3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  <c r="AE257" s="33">
        <v>2065.0999999999995</v>
      </c>
      <c r="AF257" s="33">
        <v>296.29999999999995</v>
      </c>
      <c r="AG257" s="33">
        <v>135.80000000000001</v>
      </c>
      <c r="AH257" s="33">
        <v>301</v>
      </c>
      <c r="AI257" s="33">
        <v>251.8</v>
      </c>
      <c r="AJ257" s="33">
        <v>161.19999999999999</v>
      </c>
      <c r="AK257" s="33">
        <v>156.69999999999999</v>
      </c>
      <c r="AL257" s="26">
        <v>3367.8999999999996</v>
      </c>
    </row>
    <row r="258" spans="1:38" hidden="1" x14ac:dyDescent="0.35">
      <c r="A258" t="s">
        <v>54</v>
      </c>
      <c r="B258">
        <v>2020</v>
      </c>
      <c r="C258" t="s">
        <v>107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  <c r="AE258" s="33">
        <v>2071.8000000000002</v>
      </c>
      <c r="AF258" s="33">
        <v>283.20000000000005</v>
      </c>
      <c r="AG258" s="33">
        <v>124.6</v>
      </c>
      <c r="AH258" s="33">
        <v>281.5</v>
      </c>
      <c r="AI258" s="33">
        <v>295.3</v>
      </c>
      <c r="AJ258" s="33">
        <v>152.5</v>
      </c>
      <c r="AK258" s="33">
        <v>145</v>
      </c>
      <c r="AL258" s="26">
        <v>3353.9</v>
      </c>
    </row>
    <row r="259" spans="1:38" x14ac:dyDescent="0.35">
      <c r="A259" t="s">
        <v>73</v>
      </c>
      <c r="B259">
        <v>2020</v>
      </c>
      <c r="C259" t="s">
        <v>107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  <c r="AE259" s="33">
        <v>2066.6</v>
      </c>
      <c r="AF259" s="33">
        <v>288.89999999999998</v>
      </c>
      <c r="AG259" s="33">
        <v>129.9</v>
      </c>
      <c r="AH259" s="33">
        <v>293.10000000000002</v>
      </c>
      <c r="AI259" s="33">
        <v>300.89999999999998</v>
      </c>
      <c r="AJ259" s="33">
        <v>156.1</v>
      </c>
      <c r="AK259" s="33">
        <v>152.30000000000001</v>
      </c>
      <c r="AL259" s="26">
        <v>3387.8</v>
      </c>
    </row>
    <row r="260" spans="1:38" hidden="1" x14ac:dyDescent="0.35">
      <c r="A260" t="s">
        <v>30</v>
      </c>
      <c r="B260">
        <v>2020</v>
      </c>
      <c r="C260" t="s">
        <v>123</v>
      </c>
      <c r="D260">
        <v>147.19999999999999</v>
      </c>
      <c r="E260">
        <f>E258+E259/2</f>
        <v>251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s="43">
        <f t="shared" ref="O260:O265" si="0">AVERAGE(O258:O259)</f>
        <v>159.35</v>
      </c>
      <c r="P260">
        <v>150.1</v>
      </c>
      <c r="Q260" s="43">
        <f t="shared" ref="Q260:T265" si="1">AVERAGE(Q258:Q259)</f>
        <v>172.25</v>
      </c>
      <c r="R260" s="43">
        <f t="shared" si="1"/>
        <v>149.44999999999999</v>
      </c>
      <c r="S260" s="43">
        <f t="shared" si="1"/>
        <v>137.85000000000002</v>
      </c>
      <c r="T260" s="43">
        <f t="shared" si="1"/>
        <v>147.69999999999999</v>
      </c>
      <c r="U260">
        <v>100.3</v>
      </c>
      <c r="V260">
        <v>148.4</v>
      </c>
      <c r="W260" s="43">
        <f t="shared" ref="W260:W265" si="2">AVERAGE(W258:W259)</f>
        <v>143.60000000000002</v>
      </c>
      <c r="X260">
        <v>154.30000000000001</v>
      </c>
      <c r="Y260" s="43">
        <f t="shared" ref="Y260:AD265" si="3">AVERAGE(Y258:Y259)</f>
        <v>127.25</v>
      </c>
      <c r="Z260" s="43">
        <f t="shared" si="3"/>
        <v>140.80000000000001</v>
      </c>
      <c r="AA260" s="43">
        <f t="shared" si="3"/>
        <v>154.30000000000001</v>
      </c>
      <c r="AB260" s="43">
        <f t="shared" si="3"/>
        <v>145.25</v>
      </c>
      <c r="AC260" s="43">
        <f t="shared" si="3"/>
        <v>141.25</v>
      </c>
      <c r="AD260" s="43">
        <f t="shared" si="3"/>
        <v>147.94999999999999</v>
      </c>
      <c r="AE260" s="33">
        <v>2197.4</v>
      </c>
      <c r="AF260" s="44">
        <v>286.05</v>
      </c>
      <c r="AG260" s="44">
        <v>127.25</v>
      </c>
      <c r="AH260" s="44">
        <v>287.3</v>
      </c>
      <c r="AI260" s="44">
        <v>243.90000000000003</v>
      </c>
      <c r="AJ260" s="44">
        <v>154.30000000000001</v>
      </c>
      <c r="AK260" s="44">
        <v>154.30000000000001</v>
      </c>
      <c r="AL260" s="45">
        <v>3450.5000000000009</v>
      </c>
    </row>
    <row r="261" spans="1:38" hidden="1" x14ac:dyDescent="0.35">
      <c r="A261" t="s">
        <v>54</v>
      </c>
      <c r="B261">
        <v>2020</v>
      </c>
      <c r="C261" t="s">
        <v>123</v>
      </c>
      <c r="D261">
        <v>151.80000000000001</v>
      </c>
      <c r="E261" s="43">
        <f>AVERAGE(E259:E260)</f>
        <v>209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s="43">
        <f t="shared" si="0"/>
        <v>159.47499999999999</v>
      </c>
      <c r="P261">
        <v>153.5</v>
      </c>
      <c r="Q261" s="43">
        <f t="shared" si="1"/>
        <v>171.72499999999999</v>
      </c>
      <c r="R261" s="43">
        <f t="shared" si="1"/>
        <v>150.32499999999999</v>
      </c>
      <c r="S261" s="43">
        <f t="shared" si="1"/>
        <v>139.875</v>
      </c>
      <c r="T261" s="43">
        <f t="shared" si="1"/>
        <v>148.75</v>
      </c>
      <c r="U261">
        <v>155.6</v>
      </c>
      <c r="V261">
        <v>137.1</v>
      </c>
      <c r="W261" s="43">
        <f t="shared" si="2"/>
        <v>145</v>
      </c>
      <c r="X261">
        <v>144.80000000000001</v>
      </c>
      <c r="Y261" s="43">
        <f t="shared" si="3"/>
        <v>128.57499999999999</v>
      </c>
      <c r="Z261" s="43">
        <f t="shared" si="3"/>
        <v>142.25</v>
      </c>
      <c r="AA261" s="43">
        <f t="shared" si="3"/>
        <v>155.19999999999999</v>
      </c>
      <c r="AB261" s="43">
        <f t="shared" si="3"/>
        <v>145.22499999999999</v>
      </c>
      <c r="AC261" s="43">
        <f t="shared" si="3"/>
        <v>142.52500000000001</v>
      </c>
      <c r="AD261" s="43">
        <f t="shared" si="3"/>
        <v>148.27499999999998</v>
      </c>
      <c r="AE261" s="33">
        <v>2176.9</v>
      </c>
      <c r="AF261" s="44">
        <v>287.47500000000002</v>
      </c>
      <c r="AG261" s="44">
        <v>128.57499999999999</v>
      </c>
      <c r="AH261" s="44">
        <v>290.2</v>
      </c>
      <c r="AI261" s="44">
        <v>300.60000000000002</v>
      </c>
      <c r="AJ261" s="44">
        <v>155.19999999999999</v>
      </c>
      <c r="AK261" s="44">
        <v>144.80000000000001</v>
      </c>
      <c r="AL261" s="45">
        <v>3483.7499999999995</v>
      </c>
    </row>
    <row r="262" spans="1:38" x14ac:dyDescent="0.35">
      <c r="A262" t="s">
        <v>73</v>
      </c>
      <c r="B262">
        <v>2020</v>
      </c>
      <c r="C262" t="s">
        <v>123</v>
      </c>
      <c r="D262">
        <v>148.69999999999999</v>
      </c>
      <c r="E262" s="43">
        <f>AVERAGE(E260:E261)</f>
        <v>230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s="43">
        <f t="shared" si="0"/>
        <v>159.41249999999999</v>
      </c>
      <c r="P262">
        <v>151.4</v>
      </c>
      <c r="Q262" s="43">
        <f t="shared" si="1"/>
        <v>171.98750000000001</v>
      </c>
      <c r="R262" s="43">
        <f t="shared" si="1"/>
        <v>149.88749999999999</v>
      </c>
      <c r="S262" s="43">
        <f t="shared" si="1"/>
        <v>138.86250000000001</v>
      </c>
      <c r="T262" s="43">
        <f t="shared" si="1"/>
        <v>148.22499999999999</v>
      </c>
      <c r="U262">
        <v>155.6</v>
      </c>
      <c r="V262">
        <v>144.1</v>
      </c>
      <c r="W262" s="43">
        <f t="shared" si="2"/>
        <v>144.30000000000001</v>
      </c>
      <c r="X262">
        <v>150.69999999999999</v>
      </c>
      <c r="Y262" s="43">
        <f t="shared" si="3"/>
        <v>127.91249999999999</v>
      </c>
      <c r="Z262" s="43">
        <f t="shared" si="3"/>
        <v>141.52500000000001</v>
      </c>
      <c r="AA262" s="43">
        <f t="shared" si="3"/>
        <v>154.75</v>
      </c>
      <c r="AB262" s="43">
        <f t="shared" si="3"/>
        <v>145.23750000000001</v>
      </c>
      <c r="AC262" s="43">
        <f t="shared" si="3"/>
        <v>141.88749999999999</v>
      </c>
      <c r="AD262" s="43">
        <f t="shared" si="3"/>
        <v>148.11249999999998</v>
      </c>
      <c r="AE262" s="33">
        <v>2184.1</v>
      </c>
      <c r="AF262" s="44">
        <v>286.76250000000005</v>
      </c>
      <c r="AG262" s="44">
        <v>127.91249999999999</v>
      </c>
      <c r="AH262" s="44">
        <v>288.75</v>
      </c>
      <c r="AI262" s="44">
        <v>299.89999999999998</v>
      </c>
      <c r="AJ262" s="44">
        <v>154.75</v>
      </c>
      <c r="AK262" s="44">
        <v>150.69999999999999</v>
      </c>
      <c r="AL262" s="45">
        <v>3492.875</v>
      </c>
    </row>
    <row r="263" spans="1:38" hidden="1" x14ac:dyDescent="0.35">
      <c r="A263" t="s">
        <v>30</v>
      </c>
      <c r="B263">
        <v>2020</v>
      </c>
      <c r="C263" t="s">
        <v>136</v>
      </c>
      <c r="D263" s="43">
        <f>AVERAGE(D261:D262)</f>
        <v>150.25</v>
      </c>
      <c r="E263" s="43">
        <f>AVERAGE(E261:E262)</f>
        <v>219.5</v>
      </c>
      <c r="F263" s="42">
        <f t="shared" ref="F263:N265" si="4">AVERAGE(F261:F262)</f>
        <v>150.35000000000002</v>
      </c>
      <c r="G263" s="43">
        <f t="shared" si="4"/>
        <v>155.55000000000001</v>
      </c>
      <c r="H263" s="43">
        <f t="shared" si="4"/>
        <v>133.35</v>
      </c>
      <c r="I263" s="43">
        <f t="shared" si="4"/>
        <v>151.4</v>
      </c>
      <c r="J263" s="43">
        <f t="shared" si="4"/>
        <v>174.3</v>
      </c>
      <c r="K263" s="43">
        <f t="shared" si="4"/>
        <v>150.60000000000002</v>
      </c>
      <c r="L263" s="43">
        <f t="shared" si="4"/>
        <v>120.75</v>
      </c>
      <c r="M263" s="43">
        <f t="shared" si="4"/>
        <v>155.55000000000001</v>
      </c>
      <c r="N263" s="43">
        <f t="shared" si="4"/>
        <v>135.15</v>
      </c>
      <c r="O263" s="43">
        <f t="shared" si="0"/>
        <v>159.44374999999999</v>
      </c>
      <c r="P263" s="43">
        <f>AVERAGE(P261:P262)</f>
        <v>152.44999999999999</v>
      </c>
      <c r="Q263" s="43">
        <f t="shared" si="1"/>
        <v>171.85624999999999</v>
      </c>
      <c r="R263" s="43">
        <f t="shared" si="1"/>
        <v>150.10624999999999</v>
      </c>
      <c r="S263" s="43">
        <f t="shared" si="1"/>
        <v>139.36875000000001</v>
      </c>
      <c r="T263" s="43">
        <f t="shared" si="1"/>
        <v>148.48750000000001</v>
      </c>
      <c r="U263">
        <v>100.3</v>
      </c>
      <c r="V263" s="43">
        <f>AVERAGE(V261:V262)</f>
        <v>140.6</v>
      </c>
      <c r="W263" s="43">
        <f t="shared" si="2"/>
        <v>144.65</v>
      </c>
      <c r="X263" s="43">
        <f>AVERAGE(X261:X262)</f>
        <v>147.75</v>
      </c>
      <c r="Y263" s="43">
        <f t="shared" si="3"/>
        <v>128.24374999999998</v>
      </c>
      <c r="Z263" s="43">
        <f t="shared" si="3"/>
        <v>141.88749999999999</v>
      </c>
      <c r="AA263" s="43">
        <f t="shared" si="3"/>
        <v>154.97499999999999</v>
      </c>
      <c r="AB263" s="43">
        <f t="shared" si="3"/>
        <v>145.23124999999999</v>
      </c>
      <c r="AC263" s="43">
        <f t="shared" si="3"/>
        <v>142.20625000000001</v>
      </c>
      <c r="AD263" s="43">
        <f t="shared" si="3"/>
        <v>148.19374999999997</v>
      </c>
      <c r="AE263" s="33">
        <v>2180.5</v>
      </c>
      <c r="AF263" s="44">
        <v>287.11874999999998</v>
      </c>
      <c r="AG263" s="44">
        <v>128.24374999999998</v>
      </c>
      <c r="AH263" s="44">
        <v>289.47500000000002</v>
      </c>
      <c r="AI263" s="44">
        <v>244.95</v>
      </c>
      <c r="AJ263" s="44">
        <v>154.97499999999999</v>
      </c>
      <c r="AK263" s="44">
        <v>147.75</v>
      </c>
      <c r="AL263" s="45">
        <v>3433.0124999999998</v>
      </c>
    </row>
    <row r="264" spans="1:38" hidden="1" x14ac:dyDescent="0.35">
      <c r="A264" t="s">
        <v>54</v>
      </c>
      <c r="B264">
        <v>2020</v>
      </c>
      <c r="C264" t="s">
        <v>136</v>
      </c>
      <c r="D264" s="43">
        <f>AVERAGE(D262:D263)</f>
        <v>149.47499999999999</v>
      </c>
      <c r="E264" s="43">
        <f>AVERAGE(E262:E263)</f>
        <v>224.75</v>
      </c>
      <c r="F264" s="42">
        <f t="shared" si="4"/>
        <v>149.57500000000002</v>
      </c>
      <c r="G264" s="43">
        <f t="shared" si="4"/>
        <v>155.57499999999999</v>
      </c>
      <c r="H264" s="43">
        <f t="shared" si="4"/>
        <v>134.22499999999999</v>
      </c>
      <c r="I264" s="43">
        <f t="shared" si="4"/>
        <v>150.65</v>
      </c>
      <c r="J264" s="43">
        <f t="shared" si="4"/>
        <v>171.45</v>
      </c>
      <c r="K264" s="43">
        <f t="shared" si="4"/>
        <v>150.5</v>
      </c>
      <c r="L264" s="43">
        <f t="shared" si="4"/>
        <v>120.52500000000001</v>
      </c>
      <c r="M264" s="43">
        <f t="shared" si="4"/>
        <v>156.32499999999999</v>
      </c>
      <c r="N264" s="43">
        <f t="shared" si="4"/>
        <v>135.97500000000002</v>
      </c>
      <c r="O264" s="43">
        <f t="shared" si="0"/>
        <v>159.42812499999999</v>
      </c>
      <c r="P264" s="43">
        <f>AVERAGE(P262:P263)</f>
        <v>151.92500000000001</v>
      </c>
      <c r="Q264" s="43">
        <f t="shared" si="1"/>
        <v>171.921875</v>
      </c>
      <c r="R264" s="43">
        <f t="shared" si="1"/>
        <v>149.99687499999999</v>
      </c>
      <c r="S264" s="43">
        <f t="shared" si="1"/>
        <v>139.11562500000002</v>
      </c>
      <c r="T264" s="43">
        <f t="shared" si="1"/>
        <v>148.35624999999999</v>
      </c>
      <c r="U264" s="43">
        <f>AVERAGE(U262:U263)</f>
        <v>127.94999999999999</v>
      </c>
      <c r="V264" s="43">
        <f>AVERAGE(V262:V263)</f>
        <v>142.35</v>
      </c>
      <c r="W264" s="43">
        <f t="shared" si="2"/>
        <v>144.47500000000002</v>
      </c>
      <c r="X264" s="43">
        <f>AVERAGE(X262:X263)</f>
        <v>149.22499999999999</v>
      </c>
      <c r="Y264" s="43">
        <f t="shared" si="3"/>
        <v>128.078125</v>
      </c>
      <c r="Z264" s="43">
        <f t="shared" si="3"/>
        <v>141.70625000000001</v>
      </c>
      <c r="AA264" s="43">
        <f t="shared" si="3"/>
        <v>154.86250000000001</v>
      </c>
      <c r="AB264" s="43">
        <f t="shared" si="3"/>
        <v>145.234375</v>
      </c>
      <c r="AC264" s="43">
        <f t="shared" si="3"/>
        <v>142.046875</v>
      </c>
      <c r="AD264" s="43">
        <f t="shared" si="3"/>
        <v>148.15312499999999</v>
      </c>
      <c r="AE264" s="33">
        <v>2182.3000000000002</v>
      </c>
      <c r="AF264" s="44">
        <v>286.94062500000001</v>
      </c>
      <c r="AG264" s="44">
        <v>128.078125</v>
      </c>
      <c r="AH264" s="44">
        <v>289.11250000000001</v>
      </c>
      <c r="AI264" s="44">
        <v>272.42500000000001</v>
      </c>
      <c r="AJ264" s="44">
        <v>154.86250000000001</v>
      </c>
      <c r="AK264" s="44">
        <v>149.22499999999999</v>
      </c>
      <c r="AL264" s="45">
        <v>3462.9437500000008</v>
      </c>
    </row>
    <row r="265" spans="1:38" x14ac:dyDescent="0.35">
      <c r="A265" t="s">
        <v>73</v>
      </c>
      <c r="B265">
        <v>2020</v>
      </c>
      <c r="C265" t="s">
        <v>136</v>
      </c>
      <c r="D265" s="43">
        <f>AVERAGE(D263:D264)</f>
        <v>149.86250000000001</v>
      </c>
      <c r="E265" s="43">
        <f>AVERAGE(E263:E264)</f>
        <v>222.125</v>
      </c>
      <c r="F265" s="42">
        <f t="shared" si="4"/>
        <v>149.96250000000003</v>
      </c>
      <c r="G265" s="43">
        <f t="shared" si="4"/>
        <v>155.5625</v>
      </c>
      <c r="H265" s="43">
        <f t="shared" si="4"/>
        <v>133.78749999999999</v>
      </c>
      <c r="I265" s="43">
        <f t="shared" si="4"/>
        <v>151.02500000000001</v>
      </c>
      <c r="J265" s="43">
        <f t="shared" si="4"/>
        <v>172.875</v>
      </c>
      <c r="K265" s="43">
        <f t="shared" si="4"/>
        <v>150.55000000000001</v>
      </c>
      <c r="L265" s="43">
        <f t="shared" si="4"/>
        <v>120.6375</v>
      </c>
      <c r="M265" s="43">
        <f t="shared" si="4"/>
        <v>155.9375</v>
      </c>
      <c r="N265" s="43">
        <f t="shared" si="4"/>
        <v>135.5625</v>
      </c>
      <c r="O265" s="43">
        <f t="shared" si="0"/>
        <v>159.43593749999999</v>
      </c>
      <c r="P265" s="43">
        <f>AVERAGE(P263:P264)</f>
        <v>152.1875</v>
      </c>
      <c r="Q265" s="43">
        <f t="shared" si="1"/>
        <v>171.88906249999999</v>
      </c>
      <c r="R265" s="43">
        <f t="shared" si="1"/>
        <v>150.05156249999999</v>
      </c>
      <c r="S265" s="43">
        <f t="shared" si="1"/>
        <v>139.2421875</v>
      </c>
      <c r="T265" s="43">
        <f t="shared" si="1"/>
        <v>148.421875</v>
      </c>
      <c r="U265" s="43">
        <f>AVERAGE(U263:U264)</f>
        <v>114.125</v>
      </c>
      <c r="V265" s="43">
        <f>AVERAGE(V263:V264)</f>
        <v>141.47499999999999</v>
      </c>
      <c r="W265" s="43">
        <f t="shared" si="2"/>
        <v>144.5625</v>
      </c>
      <c r="X265" s="43">
        <f>AVERAGE(X263:X264)</f>
        <v>148.48750000000001</v>
      </c>
      <c r="Y265" s="43">
        <f t="shared" si="3"/>
        <v>128.16093749999999</v>
      </c>
      <c r="Z265" s="43">
        <f t="shared" si="3"/>
        <v>141.796875</v>
      </c>
      <c r="AA265" s="43">
        <f t="shared" si="3"/>
        <v>154.91874999999999</v>
      </c>
      <c r="AB265" s="43">
        <f t="shared" si="3"/>
        <v>145.23281249999999</v>
      </c>
      <c r="AC265" s="43">
        <f t="shared" si="3"/>
        <v>142.12656250000001</v>
      </c>
      <c r="AD265" s="43">
        <f t="shared" si="3"/>
        <v>148.17343749999998</v>
      </c>
      <c r="AE265" s="33">
        <v>2181.4</v>
      </c>
      <c r="AF265" s="44">
        <v>287.02968750000002</v>
      </c>
      <c r="AG265" s="44">
        <v>128.16093749999999</v>
      </c>
      <c r="AH265" s="44">
        <v>289.29374999999999</v>
      </c>
      <c r="AI265" s="44">
        <v>258.6875</v>
      </c>
      <c r="AJ265" s="44">
        <v>154.91874999999999</v>
      </c>
      <c r="AK265" s="44">
        <v>148.48750000000001</v>
      </c>
      <c r="AL265" s="45">
        <v>3447.9781249999996</v>
      </c>
    </row>
    <row r="266" spans="1:38" hidden="1" x14ac:dyDescent="0.35">
      <c r="A266" t="s">
        <v>30</v>
      </c>
      <c r="B266">
        <v>2020</v>
      </c>
      <c r="C266" t="s">
        <v>146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>
        <v>100.3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  <c r="AE266" s="33">
        <v>2133.4</v>
      </c>
      <c r="AF266" s="33">
        <v>304.39999999999998</v>
      </c>
      <c r="AG266" s="33">
        <v>141.4</v>
      </c>
      <c r="AH266" s="33">
        <v>304.7</v>
      </c>
      <c r="AI266" s="33">
        <v>252</v>
      </c>
      <c r="AJ266" s="33">
        <v>161.80000000000001</v>
      </c>
      <c r="AK266" s="33">
        <v>158.19999999999999</v>
      </c>
      <c r="AL266" s="26">
        <v>3455.9</v>
      </c>
    </row>
    <row r="267" spans="1:38" hidden="1" x14ac:dyDescent="0.35">
      <c r="A267" t="s">
        <v>54</v>
      </c>
      <c r="B267">
        <v>2020</v>
      </c>
      <c r="C267" t="s">
        <v>146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  <c r="AE267" s="33">
        <v>2181.6999999999998</v>
      </c>
      <c r="AF267" s="33">
        <v>296.7</v>
      </c>
      <c r="AG267" s="33">
        <v>129.30000000000001</v>
      </c>
      <c r="AH267" s="33">
        <v>285.7</v>
      </c>
      <c r="AI267" s="33">
        <v>295.10000000000002</v>
      </c>
      <c r="AJ267" s="33">
        <v>152.5</v>
      </c>
      <c r="AK267" s="33">
        <v>148.1</v>
      </c>
      <c r="AL267" s="26">
        <v>3489.0999999999995</v>
      </c>
    </row>
    <row r="268" spans="1:38" x14ac:dyDescent="0.35">
      <c r="A268" t="s">
        <v>73</v>
      </c>
      <c r="B268">
        <v>2020</v>
      </c>
      <c r="C268" t="s">
        <v>146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  <c r="AE268" s="33">
        <v>2150.3000000000002</v>
      </c>
      <c r="AF268" s="33">
        <v>299.89999999999998</v>
      </c>
      <c r="AG268" s="33">
        <v>135</v>
      </c>
      <c r="AH268" s="33">
        <v>296.89999999999998</v>
      </c>
      <c r="AI268" s="33">
        <v>301.10000000000002</v>
      </c>
      <c r="AJ268" s="33">
        <v>156.4</v>
      </c>
      <c r="AK268" s="33">
        <v>154.4</v>
      </c>
      <c r="AL268" s="26">
        <v>3494.0000000000005</v>
      </c>
    </row>
    <row r="269" spans="1:38" hidden="1" x14ac:dyDescent="0.35">
      <c r="A269" t="s">
        <v>30</v>
      </c>
      <c r="B269">
        <v>2020</v>
      </c>
      <c r="C269" t="s">
        <v>163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>
        <v>100.3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  <c r="AE269" s="33">
        <v>2133.4</v>
      </c>
      <c r="AF269" s="33">
        <v>304.39999999999998</v>
      </c>
      <c r="AG269" s="33">
        <v>141.4</v>
      </c>
      <c r="AH269" s="33">
        <v>304.7</v>
      </c>
      <c r="AI269" s="33">
        <v>252</v>
      </c>
      <c r="AJ269" s="33">
        <v>161.80000000000001</v>
      </c>
      <c r="AK269" s="33">
        <v>158.19999999999999</v>
      </c>
      <c r="AL269" s="26">
        <v>3455.9</v>
      </c>
    </row>
    <row r="270" spans="1:38" hidden="1" x14ac:dyDescent="0.35">
      <c r="A270" t="s">
        <v>54</v>
      </c>
      <c r="B270">
        <v>2020</v>
      </c>
      <c r="C270" t="s">
        <v>163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  <c r="AE270" s="33">
        <v>2181.6999999999998</v>
      </c>
      <c r="AF270" s="33">
        <v>296.7</v>
      </c>
      <c r="AG270" s="33">
        <v>129.30000000000001</v>
      </c>
      <c r="AH270" s="33">
        <v>285.7</v>
      </c>
      <c r="AI270" s="33">
        <v>295.10000000000002</v>
      </c>
      <c r="AJ270" s="33">
        <v>152.5</v>
      </c>
      <c r="AK270" s="33">
        <v>148.1</v>
      </c>
      <c r="AL270" s="26">
        <v>3489.0999999999995</v>
      </c>
    </row>
    <row r="271" spans="1:38" x14ac:dyDescent="0.35">
      <c r="A271" t="s">
        <v>73</v>
      </c>
      <c r="B271">
        <v>2020</v>
      </c>
      <c r="C271" t="s">
        <v>163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  <c r="AE271" s="33">
        <v>2150.3000000000002</v>
      </c>
      <c r="AF271" s="33">
        <v>299.89999999999998</v>
      </c>
      <c r="AG271" s="33">
        <v>135</v>
      </c>
      <c r="AH271" s="33">
        <v>296.89999999999998</v>
      </c>
      <c r="AI271" s="33">
        <v>301.10000000000002</v>
      </c>
      <c r="AJ271" s="33">
        <v>156.4</v>
      </c>
      <c r="AK271" s="33">
        <v>154.4</v>
      </c>
      <c r="AL271" s="26">
        <v>3494.0000000000005</v>
      </c>
    </row>
    <row r="272" spans="1:38" hidden="1" x14ac:dyDescent="0.35">
      <c r="A272" t="s">
        <v>30</v>
      </c>
      <c r="B272">
        <v>2020</v>
      </c>
      <c r="C272" t="s">
        <v>182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>
        <v>100.3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  <c r="AE272" s="33">
        <v>2159.5</v>
      </c>
      <c r="AF272" s="33">
        <v>305.79999999999995</v>
      </c>
      <c r="AG272" s="33">
        <v>143.6</v>
      </c>
      <c r="AH272" s="33">
        <v>304.39999999999998</v>
      </c>
      <c r="AI272" s="33">
        <v>252.2</v>
      </c>
      <c r="AJ272" s="33">
        <v>162.69999999999999</v>
      </c>
      <c r="AK272" s="33">
        <v>158.80000000000001</v>
      </c>
      <c r="AL272" s="26">
        <v>3487</v>
      </c>
    </row>
    <row r="273" spans="1:38" hidden="1" x14ac:dyDescent="0.35">
      <c r="A273" t="s">
        <v>54</v>
      </c>
      <c r="B273">
        <v>2020</v>
      </c>
      <c r="C273" t="s">
        <v>182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  <c r="AE273" s="33">
        <v>2212.1</v>
      </c>
      <c r="AF273" s="33">
        <v>296.39999999999998</v>
      </c>
      <c r="AG273" s="33">
        <v>133.9</v>
      </c>
      <c r="AH273" s="33">
        <v>285.2</v>
      </c>
      <c r="AI273" s="33">
        <v>300</v>
      </c>
      <c r="AJ273" s="33">
        <v>155.5</v>
      </c>
      <c r="AK273" s="33">
        <v>148.69999999999999</v>
      </c>
      <c r="AL273" s="26">
        <v>3531.7999999999997</v>
      </c>
    </row>
    <row r="274" spans="1:38" x14ac:dyDescent="0.35">
      <c r="A274" t="s">
        <v>73</v>
      </c>
      <c r="B274">
        <v>2020</v>
      </c>
      <c r="C274" t="s">
        <v>182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  <c r="AE274" s="33">
        <v>2177.7999999999997</v>
      </c>
      <c r="AF274" s="33">
        <v>300.3</v>
      </c>
      <c r="AG274" s="33">
        <v>138.5</v>
      </c>
      <c r="AH274" s="33">
        <v>296.5</v>
      </c>
      <c r="AI274" s="33">
        <v>303.89999999999998</v>
      </c>
      <c r="AJ274" s="33">
        <v>158.5</v>
      </c>
      <c r="AK274" s="33">
        <v>155</v>
      </c>
      <c r="AL274" s="26">
        <v>3530.5</v>
      </c>
    </row>
    <row r="275" spans="1:38" hidden="1" x14ac:dyDescent="0.35">
      <c r="A275" t="s">
        <v>30</v>
      </c>
      <c r="B275">
        <v>2020</v>
      </c>
      <c r="C275" t="s">
        <v>197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>
        <v>100.3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  <c r="AE275" s="33">
        <v>2170.2999999999997</v>
      </c>
      <c r="AF275" s="33">
        <v>310.20000000000005</v>
      </c>
      <c r="AG275" s="33">
        <v>144.6</v>
      </c>
      <c r="AH275" s="33">
        <v>305.3</v>
      </c>
      <c r="AI275" s="33">
        <v>251.89999999999998</v>
      </c>
      <c r="AJ275" s="33">
        <v>161.1</v>
      </c>
      <c r="AK275" s="33">
        <v>159.1</v>
      </c>
      <c r="AL275" s="26">
        <v>3502.5</v>
      </c>
    </row>
    <row r="276" spans="1:38" hidden="1" x14ac:dyDescent="0.35">
      <c r="A276" t="s">
        <v>54</v>
      </c>
      <c r="B276">
        <v>2020</v>
      </c>
      <c r="C276" t="s">
        <v>197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  <c r="AE276" s="33">
        <v>2230.3000000000002</v>
      </c>
      <c r="AF276" s="33">
        <v>301.60000000000002</v>
      </c>
      <c r="AG276" s="33">
        <v>135.1</v>
      </c>
      <c r="AH276" s="33">
        <v>286.5</v>
      </c>
      <c r="AI276" s="33">
        <v>301.70000000000005</v>
      </c>
      <c r="AJ276" s="33">
        <v>154.9</v>
      </c>
      <c r="AK276" s="33">
        <v>150</v>
      </c>
      <c r="AL276" s="26">
        <v>3560.1</v>
      </c>
    </row>
    <row r="277" spans="1:38" x14ac:dyDescent="0.35">
      <c r="A277" t="s">
        <v>73</v>
      </c>
      <c r="B277">
        <v>2020</v>
      </c>
      <c r="C277" t="s">
        <v>197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  <c r="AE277" s="33">
        <v>2191.4</v>
      </c>
      <c r="AF277" s="33">
        <v>305</v>
      </c>
      <c r="AG277" s="33">
        <v>139.6</v>
      </c>
      <c r="AH277" s="33">
        <v>297.70000000000005</v>
      </c>
      <c r="AI277" s="33">
        <v>305</v>
      </c>
      <c r="AJ277" s="33">
        <v>157.5</v>
      </c>
      <c r="AK277" s="33">
        <v>155.6</v>
      </c>
      <c r="AL277" s="26">
        <v>3551.7999999999997</v>
      </c>
    </row>
    <row r="278" spans="1:38" hidden="1" x14ac:dyDescent="0.35">
      <c r="A278" t="s">
        <v>30</v>
      </c>
      <c r="B278">
        <v>2020</v>
      </c>
      <c r="C278" t="s">
        <v>207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>
        <v>100.3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  <c r="AE278" s="33">
        <v>2213.6</v>
      </c>
      <c r="AF278" s="33">
        <v>308.60000000000002</v>
      </c>
      <c r="AG278" s="33">
        <v>146.4</v>
      </c>
      <c r="AH278" s="33">
        <v>306.29999999999995</v>
      </c>
      <c r="AI278" s="33">
        <v>252.3</v>
      </c>
      <c r="AJ278" s="33">
        <v>162.5</v>
      </c>
      <c r="AK278" s="33">
        <v>159.5</v>
      </c>
      <c r="AL278" s="26">
        <v>3549.2</v>
      </c>
    </row>
    <row r="279" spans="1:38" hidden="1" x14ac:dyDescent="0.35">
      <c r="A279" t="s">
        <v>54</v>
      </c>
      <c r="B279">
        <v>2020</v>
      </c>
      <c r="C279" t="s">
        <v>207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  <c r="AE279" s="33">
        <v>2268.8999999999996</v>
      </c>
      <c r="AF279" s="33">
        <v>300.10000000000002</v>
      </c>
      <c r="AG279" s="33">
        <v>135.4</v>
      </c>
      <c r="AH279" s="33">
        <v>286.60000000000002</v>
      </c>
      <c r="AI279" s="33">
        <v>301.60000000000002</v>
      </c>
      <c r="AJ279" s="33">
        <v>155.69999999999999</v>
      </c>
      <c r="AK279" s="33">
        <v>151</v>
      </c>
      <c r="AL279" s="26">
        <v>3599.2999999999993</v>
      </c>
    </row>
    <row r="280" spans="1:38" x14ac:dyDescent="0.35">
      <c r="A280" t="s">
        <v>73</v>
      </c>
      <c r="B280">
        <v>2020</v>
      </c>
      <c r="C280" t="s">
        <v>207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  <c r="AE280" s="33">
        <v>2232.9000000000005</v>
      </c>
      <c r="AF280" s="33">
        <v>303.5</v>
      </c>
      <c r="AG280" s="33">
        <v>140.6</v>
      </c>
      <c r="AH280" s="33">
        <v>298.29999999999995</v>
      </c>
      <c r="AI280" s="33">
        <v>305.2</v>
      </c>
      <c r="AJ280" s="33">
        <v>158.5</v>
      </c>
      <c r="AK280" s="33">
        <v>156.30000000000001</v>
      </c>
      <c r="AL280" s="26">
        <v>3595.3</v>
      </c>
    </row>
    <row r="281" spans="1:38" hidden="1" x14ac:dyDescent="0.35">
      <c r="A281" t="s">
        <v>30</v>
      </c>
      <c r="B281">
        <v>2020</v>
      </c>
      <c r="C281" t="s">
        <v>233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>
        <v>100.3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  <c r="AE281" s="33">
        <v>2265.8000000000002</v>
      </c>
      <c r="AF281" s="33">
        <v>309.79999999999995</v>
      </c>
      <c r="AG281" s="33">
        <v>146.1</v>
      </c>
      <c r="AH281" s="33">
        <v>307.3</v>
      </c>
      <c r="AI281" s="33">
        <v>253.10000000000002</v>
      </c>
      <c r="AJ281" s="33">
        <v>161.6</v>
      </c>
      <c r="AK281" s="33">
        <v>160.4</v>
      </c>
      <c r="AL281" s="26">
        <v>3604.1000000000004</v>
      </c>
    </row>
    <row r="282" spans="1:38" hidden="1" x14ac:dyDescent="0.35">
      <c r="A282" t="s">
        <v>54</v>
      </c>
      <c r="B282">
        <v>2020</v>
      </c>
      <c r="C282" t="s">
        <v>233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  <c r="AE282" s="33">
        <v>2309.5</v>
      </c>
      <c r="AF282" s="33">
        <v>302.3</v>
      </c>
      <c r="AG282" s="33">
        <v>135.19999999999999</v>
      </c>
      <c r="AH282" s="33">
        <v>287.5</v>
      </c>
      <c r="AI282" s="33">
        <v>303.10000000000002</v>
      </c>
      <c r="AJ282" s="33">
        <v>156.4</v>
      </c>
      <c r="AK282" s="33">
        <v>152</v>
      </c>
      <c r="AL282" s="26">
        <v>3646</v>
      </c>
    </row>
    <row r="283" spans="1:38" x14ac:dyDescent="0.35">
      <c r="A283" t="s">
        <v>73</v>
      </c>
      <c r="B283">
        <v>2020</v>
      </c>
      <c r="C283" t="s">
        <v>233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  <c r="AE283" s="33">
        <v>2280.4</v>
      </c>
      <c r="AF283" s="33">
        <v>305.3</v>
      </c>
      <c r="AG283" s="33">
        <v>140.4</v>
      </c>
      <c r="AH283" s="33">
        <v>299.20000000000005</v>
      </c>
      <c r="AI283" s="33">
        <v>307.2</v>
      </c>
      <c r="AJ283" s="33">
        <v>158.6</v>
      </c>
      <c r="AK283" s="33">
        <v>157.19999999999999</v>
      </c>
      <c r="AL283" s="26">
        <v>3648.2999999999997</v>
      </c>
    </row>
    <row r="284" spans="1:38" hidden="1" x14ac:dyDescent="0.35">
      <c r="A284" t="s">
        <v>30</v>
      </c>
      <c r="B284">
        <v>2020</v>
      </c>
      <c r="C284" t="s">
        <v>242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>
        <v>100.3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  <c r="AE284" s="33">
        <v>2284.1</v>
      </c>
      <c r="AF284" s="33">
        <v>310.5</v>
      </c>
      <c r="AG284" s="33">
        <v>146.4</v>
      </c>
      <c r="AH284" s="33">
        <v>308.60000000000002</v>
      </c>
      <c r="AI284" s="33">
        <v>253.7</v>
      </c>
      <c r="AJ284" s="33">
        <v>162.9</v>
      </c>
      <c r="AK284" s="33">
        <v>161.6</v>
      </c>
      <c r="AL284" s="26">
        <v>3627.7999999999997</v>
      </c>
    </row>
    <row r="285" spans="1:38" hidden="1" x14ac:dyDescent="0.35">
      <c r="A285" t="s">
        <v>54</v>
      </c>
      <c r="B285">
        <v>2020</v>
      </c>
      <c r="C285" t="s">
        <v>242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  <c r="AE285" s="33">
        <v>2315.6</v>
      </c>
      <c r="AF285" s="33">
        <v>302.20000000000005</v>
      </c>
      <c r="AG285" s="33">
        <v>135.5</v>
      </c>
      <c r="AH285" s="33">
        <v>288.60000000000002</v>
      </c>
      <c r="AI285" s="33">
        <v>303.89999999999998</v>
      </c>
      <c r="AJ285" s="33">
        <v>156.9</v>
      </c>
      <c r="AK285" s="33">
        <v>152.9</v>
      </c>
      <c r="AL285" s="26">
        <v>3655.6000000000004</v>
      </c>
    </row>
    <row r="286" spans="1:38" x14ac:dyDescent="0.35">
      <c r="A286" t="s">
        <v>73</v>
      </c>
      <c r="B286">
        <v>2020</v>
      </c>
      <c r="C286" t="s">
        <v>242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  <c r="AE286" s="33">
        <v>2294.5</v>
      </c>
      <c r="AF286" s="33">
        <v>305.60000000000002</v>
      </c>
      <c r="AG286" s="33">
        <v>140.69999999999999</v>
      </c>
      <c r="AH286" s="33">
        <v>300.39999999999998</v>
      </c>
      <c r="AI286" s="33">
        <v>308.10000000000002</v>
      </c>
      <c r="AJ286" s="33">
        <v>159.4</v>
      </c>
      <c r="AK286" s="33">
        <v>158.30000000000001</v>
      </c>
      <c r="AL286" s="26">
        <v>3667</v>
      </c>
    </row>
    <row r="287" spans="1:38" hidden="1" x14ac:dyDescent="0.3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>
        <v>100.3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  <c r="AE287" s="33">
        <v>2250.2999999999997</v>
      </c>
      <c r="AF287" s="33">
        <v>311.29999999999995</v>
      </c>
      <c r="AG287" s="33">
        <v>147.5</v>
      </c>
      <c r="AH287" s="33">
        <v>309.89999999999998</v>
      </c>
      <c r="AI287" s="33">
        <v>254.2</v>
      </c>
      <c r="AJ287" s="33">
        <v>163.5</v>
      </c>
      <c r="AK287" s="33">
        <v>162.5</v>
      </c>
      <c r="AL287" s="26">
        <v>3599.1999999999994</v>
      </c>
    </row>
    <row r="288" spans="1:38" hidden="1" x14ac:dyDescent="0.35">
      <c r="A288" t="s">
        <v>54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  <c r="AE288" s="33">
        <v>2288.8000000000002</v>
      </c>
      <c r="AF288" s="33">
        <v>303.10000000000002</v>
      </c>
      <c r="AG288" s="33">
        <v>136.9</v>
      </c>
      <c r="AH288" s="33">
        <v>289.8</v>
      </c>
      <c r="AI288" s="33">
        <v>303.39999999999998</v>
      </c>
      <c r="AJ288" s="33">
        <v>156.1</v>
      </c>
      <c r="AK288" s="33">
        <v>154.1</v>
      </c>
      <c r="AL288" s="26">
        <v>3632.2000000000003</v>
      </c>
    </row>
    <row r="289" spans="1:38" x14ac:dyDescent="0.35">
      <c r="A289" t="s">
        <v>73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  <c r="AE289" s="33">
        <v>2263</v>
      </c>
      <c r="AF289" s="33">
        <v>306.39999999999998</v>
      </c>
      <c r="AG289" s="33">
        <v>141.9</v>
      </c>
      <c r="AH289" s="33">
        <v>301.60000000000002</v>
      </c>
      <c r="AI289" s="33">
        <v>307.7</v>
      </c>
      <c r="AJ289" s="33">
        <v>159.19999999999999</v>
      </c>
      <c r="AK289" s="33">
        <v>159.30000000000001</v>
      </c>
      <c r="AL289" s="26">
        <v>3639.1</v>
      </c>
    </row>
    <row r="290" spans="1:38" hidden="1" x14ac:dyDescent="0.35">
      <c r="A290" t="s">
        <v>30</v>
      </c>
      <c r="B290">
        <v>2021</v>
      </c>
      <c r="C290" t="s">
        <v>85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>
        <v>100.3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  <c r="AE290" s="33">
        <v>2211.8000000000002</v>
      </c>
      <c r="AF290" s="33">
        <v>312.2</v>
      </c>
      <c r="AG290" s="33">
        <v>150.19999999999999</v>
      </c>
      <c r="AH290" s="33">
        <v>313</v>
      </c>
      <c r="AI290" s="33">
        <v>255.10000000000002</v>
      </c>
      <c r="AJ290" s="33">
        <v>163.6</v>
      </c>
      <c r="AK290" s="33">
        <v>164.3</v>
      </c>
      <c r="AL290" s="26">
        <v>3570.2</v>
      </c>
    </row>
    <row r="291" spans="1:38" hidden="1" x14ac:dyDescent="0.35">
      <c r="A291" t="s">
        <v>54</v>
      </c>
      <c r="B291">
        <v>2021</v>
      </c>
      <c r="C291" t="s">
        <v>85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  <c r="AE291" s="33">
        <v>2259.3000000000002</v>
      </c>
      <c r="AF291" s="33">
        <v>304</v>
      </c>
      <c r="AG291" s="33">
        <v>140.5</v>
      </c>
      <c r="AH291" s="33">
        <v>292.39999999999998</v>
      </c>
      <c r="AI291" s="33">
        <v>306.3</v>
      </c>
      <c r="AJ291" s="33">
        <v>156.6</v>
      </c>
      <c r="AK291" s="33">
        <v>156.30000000000001</v>
      </c>
      <c r="AL291" s="26">
        <v>3615.4000000000005</v>
      </c>
    </row>
    <row r="292" spans="1:38" x14ac:dyDescent="0.35">
      <c r="A292" t="s">
        <v>73</v>
      </c>
      <c r="B292">
        <v>2021</v>
      </c>
      <c r="C292" t="s">
        <v>85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  <c r="AE292" s="33">
        <v>2227.6000000000004</v>
      </c>
      <c r="AF292" s="33">
        <v>307.3</v>
      </c>
      <c r="AG292" s="33">
        <v>145.1</v>
      </c>
      <c r="AH292" s="33">
        <v>304.60000000000002</v>
      </c>
      <c r="AI292" s="33">
        <v>310.70000000000005</v>
      </c>
      <c r="AJ292" s="33">
        <v>159.5</v>
      </c>
      <c r="AK292" s="33">
        <v>161.30000000000001</v>
      </c>
      <c r="AL292" s="26">
        <v>3616.1000000000004</v>
      </c>
    </row>
    <row r="293" spans="1:38" hidden="1" x14ac:dyDescent="0.35">
      <c r="A293" t="s">
        <v>30</v>
      </c>
      <c r="B293">
        <v>2021</v>
      </c>
      <c r="C293" t="s">
        <v>107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>
        <v>100.3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  <c r="AE293" s="33">
        <v>2211.8000000000002</v>
      </c>
      <c r="AF293" s="33">
        <v>310.89999999999998</v>
      </c>
      <c r="AG293" s="33">
        <v>151.30000000000001</v>
      </c>
      <c r="AH293" s="33">
        <v>314</v>
      </c>
      <c r="AI293" s="33">
        <v>255.10000000000002</v>
      </c>
      <c r="AJ293" s="33">
        <v>163.80000000000001</v>
      </c>
      <c r="AK293" s="33">
        <v>164.6</v>
      </c>
      <c r="AL293" s="26">
        <v>3571.5000000000005</v>
      </c>
    </row>
    <row r="294" spans="1:38" hidden="1" x14ac:dyDescent="0.35">
      <c r="A294" t="s">
        <v>54</v>
      </c>
      <c r="B294">
        <v>2021</v>
      </c>
      <c r="C294" t="s">
        <v>107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  <c r="AE294" s="33">
        <v>2257.9999999999995</v>
      </c>
      <c r="AF294" s="33">
        <v>303.5</v>
      </c>
      <c r="AG294" s="33">
        <v>141.69999999999999</v>
      </c>
      <c r="AH294" s="33">
        <v>293.79999999999995</v>
      </c>
      <c r="AI294" s="33">
        <v>307.10000000000002</v>
      </c>
      <c r="AJ294" s="33">
        <v>157.6</v>
      </c>
      <c r="AK294" s="33">
        <v>156.9</v>
      </c>
      <c r="AL294" s="26">
        <v>3618.599999999999</v>
      </c>
    </row>
    <row r="295" spans="1:38" x14ac:dyDescent="0.35">
      <c r="A295" t="s">
        <v>73</v>
      </c>
      <c r="B295">
        <v>2021</v>
      </c>
      <c r="C295" t="s">
        <v>107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  <c r="AE295" s="33">
        <v>2227.5</v>
      </c>
      <c r="AF295" s="33">
        <v>306.39999999999998</v>
      </c>
      <c r="AG295" s="33">
        <v>146.19999999999999</v>
      </c>
      <c r="AH295" s="33">
        <v>305.70000000000005</v>
      </c>
      <c r="AI295" s="33">
        <v>311.10000000000002</v>
      </c>
      <c r="AJ295" s="33">
        <v>160.19999999999999</v>
      </c>
      <c r="AK295" s="33">
        <v>161.69999999999999</v>
      </c>
      <c r="AL295" s="26">
        <v>3618.7999999999997</v>
      </c>
    </row>
    <row r="296" spans="1:38" hidden="1" x14ac:dyDescent="0.35">
      <c r="A296" t="s">
        <v>30</v>
      </c>
      <c r="B296">
        <v>2021</v>
      </c>
      <c r="C296" t="s">
        <v>123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>
        <v>100.3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  <c r="AE296" s="33">
        <v>2236.3000000000002</v>
      </c>
      <c r="AF296" s="33">
        <v>313.2</v>
      </c>
      <c r="AG296" s="33">
        <v>151.69999999999999</v>
      </c>
      <c r="AH296" s="33">
        <v>315.79999999999995</v>
      </c>
      <c r="AI296" s="33">
        <v>255.8</v>
      </c>
      <c r="AJ296" s="33">
        <v>164.1</v>
      </c>
      <c r="AK296" s="33">
        <v>165.3</v>
      </c>
      <c r="AL296" s="26">
        <v>3602.2000000000003</v>
      </c>
    </row>
    <row r="297" spans="1:38" hidden="1" x14ac:dyDescent="0.35">
      <c r="A297" t="s">
        <v>54</v>
      </c>
      <c r="B297">
        <v>2021</v>
      </c>
      <c r="C297" t="s">
        <v>123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  <c r="AE297" s="33">
        <v>2284</v>
      </c>
      <c r="AF297" s="33">
        <v>305.7</v>
      </c>
      <c r="AG297" s="33">
        <v>142.1</v>
      </c>
      <c r="AH297" s="33">
        <v>295.20000000000005</v>
      </c>
      <c r="AI297" s="33">
        <v>309</v>
      </c>
      <c r="AJ297" s="33">
        <v>157.6</v>
      </c>
      <c r="AK297" s="33">
        <v>157.5</v>
      </c>
      <c r="AL297" s="26">
        <v>3651.1</v>
      </c>
    </row>
    <row r="298" spans="1:38" x14ac:dyDescent="0.35">
      <c r="A298" t="s">
        <v>73</v>
      </c>
      <c r="B298">
        <v>2021</v>
      </c>
      <c r="C298" t="s">
        <v>123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  <c r="AE298" s="33">
        <v>2252.9</v>
      </c>
      <c r="AF298" s="33">
        <v>308.60000000000002</v>
      </c>
      <c r="AG298" s="33">
        <v>146.6</v>
      </c>
      <c r="AH298" s="33">
        <v>307.3</v>
      </c>
      <c r="AI298" s="33">
        <v>313.20000000000005</v>
      </c>
      <c r="AJ298" s="33">
        <v>160.30000000000001</v>
      </c>
      <c r="AK298" s="33">
        <v>162.30000000000001</v>
      </c>
      <c r="AL298" s="26">
        <v>3651.2000000000007</v>
      </c>
    </row>
    <row r="299" spans="1:38" hidden="1" x14ac:dyDescent="0.35">
      <c r="A299" t="s">
        <v>30</v>
      </c>
      <c r="B299">
        <v>2021</v>
      </c>
      <c r="C299" t="s">
        <v>136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>
        <v>100.3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  <c r="AE299" s="33">
        <v>2284.8999999999996</v>
      </c>
      <c r="AF299" s="33">
        <v>319.3</v>
      </c>
      <c r="AG299" s="33">
        <v>153.19999999999999</v>
      </c>
      <c r="AH299" s="33">
        <v>325.89999999999998</v>
      </c>
      <c r="AI299" s="33">
        <v>259.10000000000002</v>
      </c>
      <c r="AJ299" s="33">
        <v>167.6</v>
      </c>
      <c r="AK299" s="33">
        <v>169.1</v>
      </c>
      <c r="AL299" s="26">
        <v>3679.0999999999995</v>
      </c>
    </row>
    <row r="300" spans="1:38" hidden="1" x14ac:dyDescent="0.35">
      <c r="A300" t="s">
        <v>54</v>
      </c>
      <c r="B300">
        <v>2021</v>
      </c>
      <c r="C300" t="s">
        <v>136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  <c r="AE300" s="33">
        <v>2322.9</v>
      </c>
      <c r="AF300" s="33">
        <v>310.10000000000002</v>
      </c>
      <c r="AG300" s="33">
        <v>145</v>
      </c>
      <c r="AH300" s="33">
        <v>296.7</v>
      </c>
      <c r="AI300" s="33">
        <v>311.7</v>
      </c>
      <c r="AJ300" s="33">
        <v>156.6</v>
      </c>
      <c r="AK300" s="33">
        <v>160.4</v>
      </c>
      <c r="AL300" s="26">
        <v>3703.3999999999996</v>
      </c>
    </row>
    <row r="301" spans="1:38" x14ac:dyDescent="0.35">
      <c r="A301" t="s">
        <v>73</v>
      </c>
      <c r="B301">
        <v>2021</v>
      </c>
      <c r="C301" t="s">
        <v>136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  <c r="AE301" s="33">
        <v>2297.6000000000004</v>
      </c>
      <c r="AF301" s="33">
        <v>314.39999999999998</v>
      </c>
      <c r="AG301" s="33">
        <v>148.9</v>
      </c>
      <c r="AH301" s="33">
        <v>313.89999999999998</v>
      </c>
      <c r="AI301" s="33">
        <v>316.29999999999995</v>
      </c>
      <c r="AJ301" s="33">
        <v>161.19999999999999</v>
      </c>
      <c r="AK301" s="33">
        <v>165.8</v>
      </c>
      <c r="AL301" s="26">
        <v>3718.1000000000004</v>
      </c>
    </row>
    <row r="302" spans="1:38" hidden="1" x14ac:dyDescent="0.35">
      <c r="A302" t="s">
        <v>30</v>
      </c>
      <c r="B302">
        <v>2021</v>
      </c>
      <c r="C302" t="s">
        <v>146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>
        <v>100.3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  <c r="AE302" s="33">
        <v>2311.6999999999998</v>
      </c>
      <c r="AF302" s="33">
        <v>319.8</v>
      </c>
      <c r="AG302" s="33">
        <v>154.19999999999999</v>
      </c>
      <c r="AH302" s="33">
        <v>325.20000000000005</v>
      </c>
      <c r="AI302" s="33">
        <v>259.5</v>
      </c>
      <c r="AJ302" s="33">
        <v>166.8</v>
      </c>
      <c r="AK302" s="33">
        <v>169.7</v>
      </c>
      <c r="AL302" s="26">
        <v>3706.8999999999996</v>
      </c>
    </row>
    <row r="303" spans="1:38" hidden="1" x14ac:dyDescent="0.35">
      <c r="A303" t="s">
        <v>54</v>
      </c>
      <c r="B303">
        <v>2021</v>
      </c>
      <c r="C303" t="s">
        <v>146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  <c r="AE303" s="33">
        <v>2349.7999999999997</v>
      </c>
      <c r="AF303" s="33">
        <v>308.7</v>
      </c>
      <c r="AG303" s="33">
        <v>147.5</v>
      </c>
      <c r="AH303" s="33">
        <v>297.8</v>
      </c>
      <c r="AI303" s="33">
        <v>310.3</v>
      </c>
      <c r="AJ303" s="33">
        <v>158.1</v>
      </c>
      <c r="AK303" s="33">
        <v>160.80000000000001</v>
      </c>
      <c r="AL303" s="26">
        <v>3733</v>
      </c>
    </row>
    <row r="304" spans="1:38" x14ac:dyDescent="0.35">
      <c r="A304" t="s">
        <v>73</v>
      </c>
      <c r="B304">
        <v>2021</v>
      </c>
      <c r="C304" t="s">
        <v>146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  <c r="AE304" s="33">
        <v>2324.7000000000003</v>
      </c>
      <c r="AF304" s="33">
        <v>313.70000000000005</v>
      </c>
      <c r="AG304" s="33">
        <v>150.69999999999999</v>
      </c>
      <c r="AH304" s="33">
        <v>314</v>
      </c>
      <c r="AI304" s="33">
        <v>315.3</v>
      </c>
      <c r="AJ304" s="33">
        <v>161.69999999999999</v>
      </c>
      <c r="AK304" s="33">
        <v>166.3</v>
      </c>
      <c r="AL304" s="26">
        <v>3746.4000000000005</v>
      </c>
    </row>
    <row r="305" spans="1:38" hidden="1" x14ac:dyDescent="0.35">
      <c r="A305" t="s">
        <v>30</v>
      </c>
      <c r="B305">
        <v>2021</v>
      </c>
      <c r="C305" t="s">
        <v>163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>
        <v>100.3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  <c r="AE305" s="33">
        <v>2322.1</v>
      </c>
      <c r="AF305" s="33">
        <v>321.10000000000002</v>
      </c>
      <c r="AG305" s="33">
        <v>157.1</v>
      </c>
      <c r="AH305" s="33">
        <v>327.10000000000002</v>
      </c>
      <c r="AI305" s="33">
        <v>260.60000000000002</v>
      </c>
      <c r="AJ305" s="33">
        <v>167.2</v>
      </c>
      <c r="AK305" s="33">
        <v>170.4</v>
      </c>
      <c r="AL305" s="26">
        <v>3725.5999999999995</v>
      </c>
    </row>
    <row r="306" spans="1:38" hidden="1" x14ac:dyDescent="0.35">
      <c r="A306" t="s">
        <v>54</v>
      </c>
      <c r="B306">
        <v>2021</v>
      </c>
      <c r="C306" t="s">
        <v>163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  <c r="AE306" s="33">
        <v>2367.3000000000002</v>
      </c>
      <c r="AF306" s="33">
        <v>310.79999999999995</v>
      </c>
      <c r="AG306" s="33">
        <v>149.5</v>
      </c>
      <c r="AH306" s="33">
        <v>299.8</v>
      </c>
      <c r="AI306" s="33">
        <v>312.2</v>
      </c>
      <c r="AJ306" s="33">
        <v>160.30000000000001</v>
      </c>
      <c r="AK306" s="33">
        <v>161.5</v>
      </c>
      <c r="AL306" s="26">
        <v>3761.4000000000005</v>
      </c>
    </row>
    <row r="307" spans="1:38" x14ac:dyDescent="0.35">
      <c r="A307" t="s">
        <v>73</v>
      </c>
      <c r="B307">
        <v>2021</v>
      </c>
      <c r="C307" t="s">
        <v>163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  <c r="AE307" s="33">
        <v>2338.1999999999998</v>
      </c>
      <c r="AF307" s="33">
        <v>315.39999999999998</v>
      </c>
      <c r="AG307" s="33">
        <v>153.1</v>
      </c>
      <c r="AH307" s="33">
        <v>315.89999999999998</v>
      </c>
      <c r="AI307" s="33">
        <v>317.3</v>
      </c>
      <c r="AJ307" s="33">
        <v>163.19999999999999</v>
      </c>
      <c r="AK307" s="33">
        <v>167</v>
      </c>
      <c r="AL307" s="26">
        <v>3770.1</v>
      </c>
    </row>
    <row r="308" spans="1:38" hidden="1" x14ac:dyDescent="0.35">
      <c r="A308" t="s">
        <v>30</v>
      </c>
      <c r="B308">
        <v>2021</v>
      </c>
      <c r="C308" t="s">
        <v>182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>
        <v>100.3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  <c r="AE308" s="33">
        <v>2321</v>
      </c>
      <c r="AF308" s="33">
        <v>321.39999999999998</v>
      </c>
      <c r="AG308" s="33">
        <v>157.69999999999999</v>
      </c>
      <c r="AH308" s="33">
        <v>329.6</v>
      </c>
      <c r="AI308" s="33">
        <v>261.2</v>
      </c>
      <c r="AJ308" s="33">
        <v>167.5</v>
      </c>
      <c r="AK308" s="33">
        <v>171.1</v>
      </c>
      <c r="AL308" s="26">
        <v>3729.4999999999995</v>
      </c>
    </row>
    <row r="309" spans="1:38" hidden="1" x14ac:dyDescent="0.35">
      <c r="A309" t="s">
        <v>54</v>
      </c>
      <c r="B309">
        <v>2021</v>
      </c>
      <c r="C309" t="s">
        <v>182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  <c r="AE309" s="33">
        <v>2354.4</v>
      </c>
      <c r="AF309" s="33">
        <v>313.29999999999995</v>
      </c>
      <c r="AG309" s="33">
        <v>150.4</v>
      </c>
      <c r="AH309" s="33">
        <v>303.39999999999998</v>
      </c>
      <c r="AI309" s="33">
        <v>315.29999999999995</v>
      </c>
      <c r="AJ309" s="33">
        <v>160.4</v>
      </c>
      <c r="AK309" s="33">
        <v>162.80000000000001</v>
      </c>
      <c r="AL309" s="26">
        <v>3760.0000000000005</v>
      </c>
    </row>
    <row r="310" spans="1:38" x14ac:dyDescent="0.35">
      <c r="A310" t="s">
        <v>73</v>
      </c>
      <c r="B310">
        <v>2021</v>
      </c>
      <c r="C310" t="s">
        <v>182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  <c r="AE310" s="33">
        <v>2334.1</v>
      </c>
      <c r="AF310" s="33">
        <v>317.60000000000002</v>
      </c>
      <c r="AG310" s="33">
        <v>154</v>
      </c>
      <c r="AH310" s="33">
        <v>319.8</v>
      </c>
      <c r="AI310" s="33">
        <v>319.60000000000002</v>
      </c>
      <c r="AJ310" s="33">
        <v>163.80000000000001</v>
      </c>
      <c r="AK310" s="33">
        <v>168.4</v>
      </c>
      <c r="AL310" s="26">
        <v>3777.3</v>
      </c>
    </row>
    <row r="311" spans="1:38" hidden="1" x14ac:dyDescent="0.35">
      <c r="A311" t="s">
        <v>30</v>
      </c>
      <c r="B311">
        <v>2021</v>
      </c>
      <c r="C311" t="s">
        <v>197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>
        <v>100.3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  <c r="AE311" s="33">
        <v>2324.1</v>
      </c>
      <c r="AF311" s="33">
        <v>322.89999999999998</v>
      </c>
      <c r="AG311" s="33">
        <v>157.80000000000001</v>
      </c>
      <c r="AH311" s="33">
        <v>331.29999999999995</v>
      </c>
      <c r="AI311" s="33">
        <v>261.60000000000002</v>
      </c>
      <c r="AJ311" s="33">
        <v>168.5</v>
      </c>
      <c r="AK311" s="33">
        <v>171.9</v>
      </c>
      <c r="AL311" s="26">
        <v>3738.1000000000004</v>
      </c>
    </row>
    <row r="312" spans="1:38" hidden="1" x14ac:dyDescent="0.35">
      <c r="A312" t="s">
        <v>54</v>
      </c>
      <c r="B312">
        <v>2021</v>
      </c>
      <c r="C312" t="s">
        <v>197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  <c r="AE312" s="33">
        <v>2354.4</v>
      </c>
      <c r="AF312" s="33">
        <v>313.5</v>
      </c>
      <c r="AG312" s="33">
        <v>150.5</v>
      </c>
      <c r="AH312" s="33">
        <v>303.39999999999998</v>
      </c>
      <c r="AI312" s="33">
        <v>315.39999999999998</v>
      </c>
      <c r="AJ312" s="33">
        <v>160.30000000000001</v>
      </c>
      <c r="AK312" s="33">
        <v>162.80000000000001</v>
      </c>
      <c r="AL312" s="26">
        <v>3760.3000000000006</v>
      </c>
    </row>
    <row r="313" spans="1:38" x14ac:dyDescent="0.35">
      <c r="A313" t="s">
        <v>73</v>
      </c>
      <c r="B313">
        <v>2021</v>
      </c>
      <c r="C313" t="s">
        <v>197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  <c r="AE313" s="33">
        <v>2334.1</v>
      </c>
      <c r="AF313" s="33">
        <v>317.7</v>
      </c>
      <c r="AG313" s="33">
        <v>154</v>
      </c>
      <c r="AH313" s="33">
        <v>319.89999999999998</v>
      </c>
      <c r="AI313" s="33">
        <v>319.60000000000002</v>
      </c>
      <c r="AJ313" s="33">
        <v>163.69999999999999</v>
      </c>
      <c r="AK313" s="33">
        <v>168.4</v>
      </c>
      <c r="AL313" s="26">
        <v>3777.3999999999996</v>
      </c>
    </row>
    <row r="314" spans="1:38" hidden="1" x14ac:dyDescent="0.35">
      <c r="A314" t="s">
        <v>30</v>
      </c>
      <c r="B314">
        <v>2021</v>
      </c>
      <c r="C314" t="s">
        <v>207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>
        <v>100.3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  <c r="AE314" s="33">
        <v>2355.3999999999996</v>
      </c>
      <c r="AF314" s="33">
        <v>324.29999999999995</v>
      </c>
      <c r="AG314" s="33">
        <v>159.5</v>
      </c>
      <c r="AH314" s="33">
        <v>333.70000000000005</v>
      </c>
      <c r="AI314" s="33">
        <v>262.3</v>
      </c>
      <c r="AJ314" s="33">
        <v>169</v>
      </c>
      <c r="AK314" s="33">
        <v>172.5</v>
      </c>
      <c r="AL314" s="26">
        <v>3776.7</v>
      </c>
    </row>
    <row r="315" spans="1:38" hidden="1" x14ac:dyDescent="0.35">
      <c r="A315" t="s">
        <v>54</v>
      </c>
      <c r="B315">
        <v>2021</v>
      </c>
      <c r="C315" t="s">
        <v>207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  <c r="AE315" s="33">
        <v>2395.4000000000005</v>
      </c>
      <c r="AF315" s="33">
        <v>315.39999999999998</v>
      </c>
      <c r="AG315" s="33">
        <v>152.19999999999999</v>
      </c>
      <c r="AH315" s="33">
        <v>305.20000000000005</v>
      </c>
      <c r="AI315" s="33">
        <v>317.89999999999998</v>
      </c>
      <c r="AJ315" s="33">
        <v>160.30000000000001</v>
      </c>
      <c r="AK315" s="33">
        <v>163.5</v>
      </c>
      <c r="AL315" s="26">
        <v>3809.900000000001</v>
      </c>
    </row>
    <row r="316" spans="1:38" x14ac:dyDescent="0.35">
      <c r="A316" t="s">
        <v>73</v>
      </c>
      <c r="B316">
        <v>2021</v>
      </c>
      <c r="C316" t="s">
        <v>207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  <c r="AE316" s="33">
        <v>2368.1999999999998</v>
      </c>
      <c r="AF316" s="33">
        <v>319.39999999999998</v>
      </c>
      <c r="AG316" s="33">
        <v>155.69999999999999</v>
      </c>
      <c r="AH316" s="33">
        <v>322</v>
      </c>
      <c r="AI316" s="33">
        <v>322</v>
      </c>
      <c r="AJ316" s="33">
        <v>163.9</v>
      </c>
      <c r="AK316" s="33">
        <v>169.1</v>
      </c>
      <c r="AL316" s="26">
        <v>3820.2999999999997</v>
      </c>
    </row>
    <row r="317" spans="1:38" hidden="1" x14ac:dyDescent="0.35">
      <c r="A317" t="s">
        <v>30</v>
      </c>
      <c r="B317">
        <v>2021</v>
      </c>
      <c r="C317" t="s">
        <v>233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>
        <v>100.3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  <c r="AE317" s="33">
        <v>2373.4</v>
      </c>
      <c r="AF317" s="33">
        <v>326.20000000000005</v>
      </c>
      <c r="AG317" s="33">
        <v>158.9</v>
      </c>
      <c r="AH317" s="33">
        <v>336.4</v>
      </c>
      <c r="AI317" s="33">
        <v>263.2</v>
      </c>
      <c r="AJ317" s="33">
        <v>169.3</v>
      </c>
      <c r="AK317" s="33">
        <v>173.4</v>
      </c>
      <c r="AL317" s="26">
        <v>3800.8000000000006</v>
      </c>
    </row>
    <row r="318" spans="1:38" hidden="1" x14ac:dyDescent="0.35">
      <c r="A318" t="s">
        <v>54</v>
      </c>
      <c r="B318">
        <v>2021</v>
      </c>
      <c r="C318" t="s">
        <v>233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  <c r="AE318" s="33">
        <v>2414.8999999999996</v>
      </c>
      <c r="AF318" s="33">
        <v>318.5</v>
      </c>
      <c r="AG318" s="33">
        <v>151.19999999999999</v>
      </c>
      <c r="AH318" s="33">
        <v>307.60000000000002</v>
      </c>
      <c r="AI318" s="33">
        <v>319.39999999999998</v>
      </c>
      <c r="AJ318" s="33">
        <v>160.80000000000001</v>
      </c>
      <c r="AK318" s="33">
        <v>164.2</v>
      </c>
      <c r="AL318" s="26">
        <v>3836.5999999999995</v>
      </c>
    </row>
    <row r="319" spans="1:38" x14ac:dyDescent="0.35">
      <c r="A319" t="s">
        <v>73</v>
      </c>
      <c r="B319">
        <v>2021</v>
      </c>
      <c r="C319" t="s">
        <v>233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  <c r="AE319" s="33">
        <v>2387</v>
      </c>
      <c r="AF319" s="33">
        <v>322</v>
      </c>
      <c r="AG319" s="33">
        <v>154.80000000000001</v>
      </c>
      <c r="AH319" s="33">
        <v>324.60000000000002</v>
      </c>
      <c r="AI319" s="33">
        <v>323.5</v>
      </c>
      <c r="AJ319" s="33">
        <v>164.3</v>
      </c>
      <c r="AK319" s="33">
        <v>169.9</v>
      </c>
      <c r="AL319" s="26">
        <v>3846.1000000000004</v>
      </c>
    </row>
    <row r="320" spans="1:38" hidden="1" x14ac:dyDescent="0.35">
      <c r="A320" t="s">
        <v>30</v>
      </c>
      <c r="B320">
        <v>2021</v>
      </c>
      <c r="C320" t="s">
        <v>242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>
        <v>100.3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  <c r="AE320" s="33">
        <v>2359</v>
      </c>
      <c r="AF320" s="33">
        <v>327.3</v>
      </c>
      <c r="AG320" s="33">
        <v>160.1</v>
      </c>
      <c r="AH320" s="33">
        <v>339.1</v>
      </c>
      <c r="AI320" s="33">
        <v>264.2</v>
      </c>
      <c r="AJ320" s="33">
        <v>169.7</v>
      </c>
      <c r="AK320" s="33">
        <v>174</v>
      </c>
      <c r="AL320" s="26">
        <v>3793.3999999999996</v>
      </c>
    </row>
    <row r="321" spans="1:38" hidden="1" x14ac:dyDescent="0.35">
      <c r="A321" t="s">
        <v>54</v>
      </c>
      <c r="B321">
        <v>2021</v>
      </c>
      <c r="C321" t="s">
        <v>242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  <c r="AE321" s="33">
        <v>2403.1000000000004</v>
      </c>
      <c r="AF321" s="33">
        <v>320</v>
      </c>
      <c r="AG321" s="33">
        <v>151.80000000000001</v>
      </c>
      <c r="AH321" s="33">
        <v>310</v>
      </c>
      <c r="AI321" s="33">
        <v>319.39999999999998</v>
      </c>
      <c r="AJ321" s="33">
        <v>160.6</v>
      </c>
      <c r="AK321" s="33">
        <v>165.1</v>
      </c>
      <c r="AL321" s="26">
        <v>3830.0000000000005</v>
      </c>
    </row>
    <row r="322" spans="1:38" x14ac:dyDescent="0.35">
      <c r="A322" t="s">
        <v>73</v>
      </c>
      <c r="B322">
        <v>2021</v>
      </c>
      <c r="C322" t="s">
        <v>242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  <c r="AE322" s="33">
        <v>2373.3000000000002</v>
      </c>
      <c r="AF322" s="33">
        <v>323.2</v>
      </c>
      <c r="AG322" s="33">
        <v>155.69999999999999</v>
      </c>
      <c r="AH322" s="33">
        <v>327.2</v>
      </c>
      <c r="AI322" s="33">
        <v>323.60000000000002</v>
      </c>
      <c r="AJ322" s="33">
        <v>164.4</v>
      </c>
      <c r="AK322" s="33">
        <v>170.6</v>
      </c>
      <c r="AL322" s="26">
        <v>3837.9999999999995</v>
      </c>
    </row>
    <row r="323" spans="1:38" hidden="1" x14ac:dyDescent="0.3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>
        <v>100.3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  <c r="AE323" s="33">
        <v>2343.6999999999998</v>
      </c>
      <c r="AF323" s="33">
        <v>328.1</v>
      </c>
      <c r="AG323" s="33">
        <v>160.80000000000001</v>
      </c>
      <c r="AH323" s="33">
        <v>342.5</v>
      </c>
      <c r="AI323" s="33">
        <v>265.2</v>
      </c>
      <c r="AJ323" s="33">
        <v>169.9</v>
      </c>
      <c r="AK323" s="33">
        <v>174.7</v>
      </c>
      <c r="AL323" s="26">
        <v>3784.8999999999996</v>
      </c>
    </row>
    <row r="324" spans="1:38" hidden="1" x14ac:dyDescent="0.35">
      <c r="A324" t="s">
        <v>54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  <c r="AE324" s="33">
        <v>2383.1</v>
      </c>
      <c r="AF324" s="33">
        <v>321.20000000000005</v>
      </c>
      <c r="AG324" s="33">
        <v>152.69999999999999</v>
      </c>
      <c r="AH324" s="33">
        <v>313.2</v>
      </c>
      <c r="AI324" s="33">
        <v>321.3</v>
      </c>
      <c r="AJ324" s="33">
        <v>161</v>
      </c>
      <c r="AK324" s="33">
        <v>166.1</v>
      </c>
      <c r="AL324" s="26">
        <v>3818.6</v>
      </c>
    </row>
    <row r="325" spans="1:38" x14ac:dyDescent="0.35">
      <c r="A325" t="s">
        <v>73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  <c r="AE325" s="33">
        <v>2356.3999999999996</v>
      </c>
      <c r="AF325" s="33">
        <v>324.2</v>
      </c>
      <c r="AG325" s="33">
        <v>156.5</v>
      </c>
      <c r="AH325" s="33">
        <v>330.6</v>
      </c>
      <c r="AI325" s="33">
        <v>325.60000000000002</v>
      </c>
      <c r="AJ325" s="33">
        <v>164.7</v>
      </c>
      <c r="AK325" s="33">
        <v>171.4</v>
      </c>
      <c r="AL325" s="26">
        <v>3829.3999999999992</v>
      </c>
    </row>
    <row r="326" spans="1:38" hidden="1" x14ac:dyDescent="0.35">
      <c r="A326" t="s">
        <v>30</v>
      </c>
      <c r="B326">
        <v>2022</v>
      </c>
      <c r="C326" t="s">
        <v>85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>
        <v>100.3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  <c r="AE326" s="33">
        <v>2341.9</v>
      </c>
      <c r="AF326" s="33">
        <v>330</v>
      </c>
      <c r="AG326" s="33">
        <v>161.19999999999999</v>
      </c>
      <c r="AH326" s="33">
        <v>345.1</v>
      </c>
      <c r="AI326" s="33">
        <v>266</v>
      </c>
      <c r="AJ326" s="33">
        <v>170.3</v>
      </c>
      <c r="AK326" s="33">
        <v>175.3</v>
      </c>
      <c r="AL326" s="26">
        <v>3789.8</v>
      </c>
    </row>
    <row r="327" spans="1:38" hidden="1" x14ac:dyDescent="0.35">
      <c r="A327" t="s">
        <v>54</v>
      </c>
      <c r="B327">
        <v>2022</v>
      </c>
      <c r="C327" t="s">
        <v>85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  <c r="AE327" s="33">
        <v>2380</v>
      </c>
      <c r="AF327" s="33">
        <v>323.7</v>
      </c>
      <c r="AG327" s="33">
        <v>153.1</v>
      </c>
      <c r="AH327" s="33">
        <v>316.10000000000002</v>
      </c>
      <c r="AI327" s="33">
        <v>322.89999999999998</v>
      </c>
      <c r="AJ327" s="33">
        <v>162</v>
      </c>
      <c r="AK327" s="33">
        <v>167.2</v>
      </c>
      <c r="AL327" s="26">
        <v>3824.9999999999995</v>
      </c>
    </row>
    <row r="328" spans="1:38" x14ac:dyDescent="0.35">
      <c r="A328" t="s">
        <v>73</v>
      </c>
      <c r="B328">
        <v>2022</v>
      </c>
      <c r="C328" t="s">
        <v>85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  <c r="AE328" s="33">
        <v>2354.0000000000005</v>
      </c>
      <c r="AF328" s="33">
        <v>326.5</v>
      </c>
      <c r="AG328" s="33">
        <v>156.9</v>
      </c>
      <c r="AH328" s="33">
        <v>333.20000000000005</v>
      </c>
      <c r="AI328" s="33">
        <v>327.3</v>
      </c>
      <c r="AJ328" s="33">
        <v>165.4</v>
      </c>
      <c r="AK328" s="33">
        <v>172.2</v>
      </c>
      <c r="AL328" s="26">
        <v>3835.5000000000005</v>
      </c>
    </row>
    <row r="329" spans="1:38" hidden="1" x14ac:dyDescent="0.35">
      <c r="A329" t="s">
        <v>30</v>
      </c>
      <c r="B329">
        <v>2022</v>
      </c>
      <c r="C329" t="s">
        <v>107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>
        <v>100.3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  <c r="AE329" s="33">
        <v>2371.4000000000005</v>
      </c>
      <c r="AF329" s="33">
        <v>334</v>
      </c>
      <c r="AG329" s="33">
        <v>162</v>
      </c>
      <c r="AH329" s="33">
        <v>348.6</v>
      </c>
      <c r="AI329" s="33">
        <v>266.8</v>
      </c>
      <c r="AJ329" s="33">
        <v>170.6</v>
      </c>
      <c r="AK329" s="33">
        <v>176</v>
      </c>
      <c r="AL329" s="26">
        <v>3829.4000000000005</v>
      </c>
    </row>
    <row r="330" spans="1:38" hidden="1" x14ac:dyDescent="0.35">
      <c r="A330" t="s">
        <v>54</v>
      </c>
      <c r="B330">
        <v>2022</v>
      </c>
      <c r="C330" t="s">
        <v>107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  <c r="AE330" s="33">
        <v>2393.8000000000002</v>
      </c>
      <c r="AF330" s="33">
        <v>327.60000000000002</v>
      </c>
      <c r="AG330" s="33">
        <v>154.19999999999999</v>
      </c>
      <c r="AH330" s="33">
        <v>319.7</v>
      </c>
      <c r="AI330" s="33">
        <v>323.89999999999998</v>
      </c>
      <c r="AJ330" s="33">
        <v>162.69999999999999</v>
      </c>
      <c r="AK330" s="33">
        <v>168.2</v>
      </c>
      <c r="AL330" s="26">
        <v>3850.0999999999995</v>
      </c>
    </row>
    <row r="331" spans="1:38" x14ac:dyDescent="0.35">
      <c r="A331" t="s">
        <v>73</v>
      </c>
      <c r="B331">
        <v>2022</v>
      </c>
      <c r="C331" t="s">
        <v>107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  <c r="AE331" s="33">
        <v>2377.9</v>
      </c>
      <c r="AF331" s="33">
        <v>330.5</v>
      </c>
      <c r="AG331" s="33">
        <v>157.9</v>
      </c>
      <c r="AH331" s="33">
        <v>336.7</v>
      </c>
      <c r="AI331" s="33">
        <v>328.1</v>
      </c>
      <c r="AJ331" s="33">
        <v>166</v>
      </c>
      <c r="AK331" s="33">
        <v>173</v>
      </c>
      <c r="AL331" s="26">
        <v>3870.1</v>
      </c>
    </row>
    <row r="332" spans="1:38" hidden="1" x14ac:dyDescent="0.35">
      <c r="A332" t="s">
        <v>30</v>
      </c>
      <c r="B332">
        <v>2022</v>
      </c>
      <c r="C332" t="s">
        <v>123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>
        <v>100.3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  <c r="AE332" s="33">
        <v>2399.4</v>
      </c>
      <c r="AF332" s="33">
        <v>336.2</v>
      </c>
      <c r="AG332" s="33">
        <v>166.2</v>
      </c>
      <c r="AH332" s="33">
        <v>352.6</v>
      </c>
      <c r="AI332" s="33">
        <v>268</v>
      </c>
      <c r="AJ332" s="33">
        <v>170.9</v>
      </c>
      <c r="AK332" s="33">
        <v>177</v>
      </c>
      <c r="AL332" s="26">
        <v>3870.2999999999997</v>
      </c>
    </row>
    <row r="333" spans="1:38" hidden="1" x14ac:dyDescent="0.35">
      <c r="A333" t="s">
        <v>54</v>
      </c>
      <c r="B333">
        <v>2022</v>
      </c>
      <c r="C333" t="s">
        <v>123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  <c r="AE333" s="33">
        <v>2427.5</v>
      </c>
      <c r="AF333" s="33">
        <v>330.6</v>
      </c>
      <c r="AG333" s="33">
        <v>159.30000000000001</v>
      </c>
      <c r="AH333" s="33">
        <v>322.89999999999998</v>
      </c>
      <c r="AI333" s="33">
        <v>326.8</v>
      </c>
      <c r="AJ333" s="33">
        <v>164</v>
      </c>
      <c r="AK333" s="33">
        <v>169</v>
      </c>
      <c r="AL333" s="26">
        <v>3900.1000000000004</v>
      </c>
    </row>
    <row r="334" spans="1:38" x14ac:dyDescent="0.35">
      <c r="A334" t="s">
        <v>73</v>
      </c>
      <c r="B334">
        <v>2022</v>
      </c>
      <c r="C334" t="s">
        <v>123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  <c r="AE334" s="33">
        <v>2408.2000000000003</v>
      </c>
      <c r="AF334" s="33">
        <v>333.20000000000005</v>
      </c>
      <c r="AG334" s="33">
        <v>162.6</v>
      </c>
      <c r="AH334" s="33">
        <v>340.4</v>
      </c>
      <c r="AI334" s="33">
        <v>331</v>
      </c>
      <c r="AJ334" s="33">
        <v>166.9</v>
      </c>
      <c r="AK334" s="33">
        <v>174</v>
      </c>
      <c r="AL334" s="26">
        <v>3916.3000000000006</v>
      </c>
    </row>
    <row r="335" spans="1:38" hidden="1" x14ac:dyDescent="0.35">
      <c r="A335" t="s">
        <v>30</v>
      </c>
      <c r="B335">
        <v>2022</v>
      </c>
      <c r="C335" t="s">
        <v>136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>
        <v>100.3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  <c r="AE335" s="33">
        <v>2419.7000000000003</v>
      </c>
      <c r="AF335" s="33">
        <v>336.1</v>
      </c>
      <c r="AG335" s="33">
        <v>167.1</v>
      </c>
      <c r="AH335" s="33">
        <v>356.5</v>
      </c>
      <c r="AI335" s="33">
        <v>269.2</v>
      </c>
      <c r="AJ335" s="33">
        <v>171.8</v>
      </c>
      <c r="AK335" s="33">
        <v>177.7</v>
      </c>
      <c r="AL335" s="26">
        <v>3898.1</v>
      </c>
    </row>
    <row r="336" spans="1:38" hidden="1" x14ac:dyDescent="0.35">
      <c r="A336" t="s">
        <v>54</v>
      </c>
      <c r="B336">
        <v>2022</v>
      </c>
      <c r="C336" t="s">
        <v>136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  <c r="AE336" s="33">
        <v>2459.7000000000003</v>
      </c>
      <c r="AF336" s="33">
        <v>331.4</v>
      </c>
      <c r="AG336" s="33">
        <v>159.4</v>
      </c>
      <c r="AH336" s="33">
        <v>325.89999999999998</v>
      </c>
      <c r="AI336" s="33">
        <v>328.6</v>
      </c>
      <c r="AJ336" s="33">
        <v>165.2</v>
      </c>
      <c r="AK336" s="33">
        <v>170.1</v>
      </c>
      <c r="AL336" s="26">
        <v>3940.3</v>
      </c>
    </row>
    <row r="337" spans="1:38" x14ac:dyDescent="0.35">
      <c r="A337" t="s">
        <v>73</v>
      </c>
      <c r="B337">
        <v>2022</v>
      </c>
      <c r="C337" t="s">
        <v>136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  <c r="AE337" s="33">
        <v>2433.0000000000005</v>
      </c>
      <c r="AF337" s="33">
        <v>333.5</v>
      </c>
      <c r="AG337" s="33">
        <v>163</v>
      </c>
      <c r="AH337" s="33">
        <v>344</v>
      </c>
      <c r="AI337" s="33">
        <v>332.7</v>
      </c>
      <c r="AJ337" s="33">
        <v>167.9</v>
      </c>
      <c r="AK337" s="33">
        <v>174.8</v>
      </c>
      <c r="AL337" s="26">
        <v>3948.9000000000005</v>
      </c>
    </row>
    <row r="338" spans="1:38" hidden="1" x14ac:dyDescent="0.35">
      <c r="A338" t="s">
        <v>30</v>
      </c>
      <c r="B338">
        <v>2022</v>
      </c>
      <c r="C338" t="s">
        <v>146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>
        <v>100.3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  <c r="AE338" s="33">
        <v>2441.2000000000003</v>
      </c>
      <c r="AF338" s="33">
        <v>337.5</v>
      </c>
      <c r="AG338" s="33">
        <v>165.5</v>
      </c>
      <c r="AH338" s="33">
        <v>359.4</v>
      </c>
      <c r="AI338" s="33">
        <v>270.60000000000002</v>
      </c>
      <c r="AJ338" s="33">
        <v>172.6</v>
      </c>
      <c r="AK338" s="33">
        <v>178.2</v>
      </c>
      <c r="AL338" s="26">
        <v>3925</v>
      </c>
    </row>
    <row r="339" spans="1:38" hidden="1" x14ac:dyDescent="0.35">
      <c r="A339" t="s">
        <v>54</v>
      </c>
      <c r="B339">
        <v>2022</v>
      </c>
      <c r="C339" t="s">
        <v>146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  <c r="AE339" s="33">
        <v>2485.8000000000002</v>
      </c>
      <c r="AF339" s="33">
        <v>333.29999999999995</v>
      </c>
      <c r="AG339" s="33">
        <v>157.19999999999999</v>
      </c>
      <c r="AH339" s="33">
        <v>329</v>
      </c>
      <c r="AI339" s="33">
        <v>328.9</v>
      </c>
      <c r="AJ339" s="33">
        <v>166.5</v>
      </c>
      <c r="AK339" s="33">
        <v>170.9</v>
      </c>
      <c r="AL339" s="26">
        <v>3971.6000000000004</v>
      </c>
    </row>
    <row r="340" spans="1:38" x14ac:dyDescent="0.35">
      <c r="A340" t="s">
        <v>73</v>
      </c>
      <c r="B340">
        <v>2022</v>
      </c>
      <c r="C340" t="s">
        <v>146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  <c r="AE340" s="33">
        <v>2456.2000000000003</v>
      </c>
      <c r="AF340" s="33">
        <v>335.20000000000005</v>
      </c>
      <c r="AG340" s="33">
        <v>161.1</v>
      </c>
      <c r="AH340" s="33">
        <v>347</v>
      </c>
      <c r="AI340" s="33">
        <v>333.20000000000005</v>
      </c>
      <c r="AJ340" s="33">
        <v>169</v>
      </c>
      <c r="AK340" s="33">
        <v>175.4</v>
      </c>
      <c r="AL340" s="26">
        <v>3977.1000000000008</v>
      </c>
    </row>
    <row r="341" spans="1:38" hidden="1" x14ac:dyDescent="0.35">
      <c r="A341" t="s">
        <v>30</v>
      </c>
      <c r="B341">
        <v>2022</v>
      </c>
      <c r="C341" t="s">
        <v>163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>
        <v>100.3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  <c r="AE341" s="33">
        <v>2445.6999999999998</v>
      </c>
      <c r="AF341" s="33">
        <v>338.29999999999995</v>
      </c>
      <c r="AG341" s="33">
        <v>166.3</v>
      </c>
      <c r="AH341" s="33">
        <v>362.3</v>
      </c>
      <c r="AI341" s="33">
        <v>271.60000000000002</v>
      </c>
      <c r="AJ341" s="33">
        <v>174.7</v>
      </c>
      <c r="AK341" s="33">
        <v>178.8</v>
      </c>
      <c r="AL341" s="26">
        <v>3937.7000000000003</v>
      </c>
    </row>
    <row r="342" spans="1:38" hidden="1" x14ac:dyDescent="0.35">
      <c r="A342" t="s">
        <v>54</v>
      </c>
      <c r="B342">
        <v>2022</v>
      </c>
      <c r="C342" t="s">
        <v>163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  <c r="AE342" s="33">
        <v>2490.1999999999998</v>
      </c>
      <c r="AF342" s="33">
        <v>334.4</v>
      </c>
      <c r="AG342" s="33">
        <v>157.4</v>
      </c>
      <c r="AH342" s="33">
        <v>331.4</v>
      </c>
      <c r="AI342" s="33">
        <v>330.9</v>
      </c>
      <c r="AJ342" s="33">
        <v>169.1</v>
      </c>
      <c r="AK342" s="33">
        <v>171.7</v>
      </c>
      <c r="AL342" s="26">
        <v>3985.1</v>
      </c>
    </row>
    <row r="343" spans="1:38" x14ac:dyDescent="0.35">
      <c r="A343" t="s">
        <v>73</v>
      </c>
      <c r="B343">
        <v>2022</v>
      </c>
      <c r="C343" t="s">
        <v>163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  <c r="AE343" s="33">
        <v>2460.9</v>
      </c>
      <c r="AF343" s="33">
        <v>336</v>
      </c>
      <c r="AG343" s="33">
        <v>161.6</v>
      </c>
      <c r="AH343" s="33">
        <v>349.6</v>
      </c>
      <c r="AI343" s="33">
        <v>335.20000000000005</v>
      </c>
      <c r="AJ343" s="33">
        <v>171.4</v>
      </c>
      <c r="AK343" s="33">
        <v>176.1</v>
      </c>
      <c r="AL343" s="26">
        <v>3990.8</v>
      </c>
    </row>
    <row r="344" spans="1:38" hidden="1" x14ac:dyDescent="0.35">
      <c r="A344" t="s">
        <v>30</v>
      </c>
      <c r="B344">
        <v>2022</v>
      </c>
      <c r="C344" t="s">
        <v>182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>
        <v>100.3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  <c r="AE344" s="33">
        <v>2449.4999999999995</v>
      </c>
      <c r="AF344" s="33">
        <v>340.4</v>
      </c>
      <c r="AG344" s="33">
        <v>166.6</v>
      </c>
      <c r="AH344" s="33">
        <v>364.9</v>
      </c>
      <c r="AI344" s="33">
        <v>272.60000000000002</v>
      </c>
      <c r="AJ344" s="33">
        <v>175.7</v>
      </c>
      <c r="AK344" s="33">
        <v>179.4</v>
      </c>
      <c r="AL344" s="26">
        <v>3949.0999999999995</v>
      </c>
    </row>
    <row r="345" spans="1:38" hidden="1" x14ac:dyDescent="0.35">
      <c r="A345" t="s">
        <v>54</v>
      </c>
      <c r="B345">
        <v>2022</v>
      </c>
      <c r="C345" t="s">
        <v>182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  <c r="AE345" s="33">
        <v>2492.3999999999996</v>
      </c>
      <c r="AF345" s="33">
        <v>336.5</v>
      </c>
      <c r="AG345" s="33">
        <v>157.69999999999999</v>
      </c>
      <c r="AH345" s="33">
        <v>333.7</v>
      </c>
      <c r="AI345" s="33">
        <v>333.2</v>
      </c>
      <c r="AJ345" s="33">
        <v>169.9</v>
      </c>
      <c r="AK345" s="33">
        <v>172.6</v>
      </c>
      <c r="AL345" s="26">
        <v>3995.9999999999991</v>
      </c>
    </row>
    <row r="346" spans="1:38" x14ac:dyDescent="0.35">
      <c r="A346" t="s">
        <v>73</v>
      </c>
      <c r="B346">
        <v>2022</v>
      </c>
      <c r="C346" t="s">
        <v>182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  <c r="AE346" s="33">
        <v>2464.2000000000003</v>
      </c>
      <c r="AF346" s="33">
        <v>338.1</v>
      </c>
      <c r="AG346" s="33">
        <v>161.9</v>
      </c>
      <c r="AH346" s="33">
        <v>352.2</v>
      </c>
      <c r="AI346" s="33">
        <v>337.5</v>
      </c>
      <c r="AJ346" s="33">
        <v>172.3</v>
      </c>
      <c r="AK346" s="33">
        <v>176.8</v>
      </c>
      <c r="AL346" s="26">
        <v>4003.0000000000005</v>
      </c>
    </row>
    <row r="347" spans="1:38" hidden="1" x14ac:dyDescent="0.35">
      <c r="A347" t="s">
        <v>30</v>
      </c>
      <c r="B347">
        <v>2022</v>
      </c>
      <c r="C347" t="s">
        <v>197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>
        <v>100.3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  <c r="AE347" s="33">
        <v>2462.3000000000002</v>
      </c>
      <c r="AF347" s="33">
        <v>340.8</v>
      </c>
      <c r="AG347" s="33">
        <v>166.9</v>
      </c>
      <c r="AH347" s="33">
        <v>368</v>
      </c>
      <c r="AI347" s="33">
        <v>273.89999999999998</v>
      </c>
      <c r="AJ347" s="33">
        <v>176.2</v>
      </c>
      <c r="AK347" s="33">
        <v>180.2</v>
      </c>
      <c r="AL347" s="26">
        <v>3968.3</v>
      </c>
    </row>
    <row r="348" spans="1:38" hidden="1" x14ac:dyDescent="0.35">
      <c r="A348" t="s">
        <v>54</v>
      </c>
      <c r="B348">
        <v>2022</v>
      </c>
      <c r="C348" t="s">
        <v>197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  <c r="AE348" s="33">
        <v>2506.1</v>
      </c>
      <c r="AF348" s="33">
        <v>336.9</v>
      </c>
      <c r="AG348" s="33">
        <v>158.19999999999999</v>
      </c>
      <c r="AH348" s="33">
        <v>336.7</v>
      </c>
      <c r="AI348" s="33">
        <v>334.5</v>
      </c>
      <c r="AJ348" s="33">
        <v>170.9</v>
      </c>
      <c r="AK348" s="33">
        <v>173.8</v>
      </c>
      <c r="AL348" s="26">
        <v>4017.1</v>
      </c>
    </row>
    <row r="349" spans="1:38" x14ac:dyDescent="0.35">
      <c r="A349" t="s">
        <v>73</v>
      </c>
      <c r="B349">
        <v>2022</v>
      </c>
      <c r="C349" t="s">
        <v>197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  <c r="AE349" s="33">
        <v>2476.8000000000002</v>
      </c>
      <c r="AF349" s="33">
        <v>338.5</v>
      </c>
      <c r="AG349" s="33">
        <v>162.30000000000001</v>
      </c>
      <c r="AH349" s="33">
        <v>355.20000000000005</v>
      </c>
      <c r="AI349" s="33">
        <v>339</v>
      </c>
      <c r="AJ349" s="33">
        <v>173.1</v>
      </c>
      <c r="AK349" s="33">
        <v>177.8</v>
      </c>
      <c r="AL349" s="26">
        <v>4022.7000000000003</v>
      </c>
    </row>
    <row r="350" spans="1:38" hidden="1" x14ac:dyDescent="0.35">
      <c r="A350" t="s">
        <v>30</v>
      </c>
      <c r="B350">
        <v>2022</v>
      </c>
      <c r="C350" t="s">
        <v>207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>
        <v>100.3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  <c r="AE350" s="33">
        <v>2479.4</v>
      </c>
      <c r="AF350" s="33">
        <v>342.6</v>
      </c>
      <c r="AG350" s="33">
        <v>167.4</v>
      </c>
      <c r="AH350" s="33">
        <v>370.5</v>
      </c>
      <c r="AI350" s="33">
        <v>274.7</v>
      </c>
      <c r="AJ350" s="33">
        <v>176.5</v>
      </c>
      <c r="AK350" s="33">
        <v>181.2</v>
      </c>
      <c r="AL350" s="26">
        <v>3992.2999999999997</v>
      </c>
    </row>
    <row r="351" spans="1:38" hidden="1" x14ac:dyDescent="0.35">
      <c r="A351" t="s">
        <v>54</v>
      </c>
      <c r="B351">
        <v>2022</v>
      </c>
      <c r="C351" t="s">
        <v>207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  <c r="AE351" s="33">
        <v>2522.4</v>
      </c>
      <c r="AF351" s="33">
        <v>338.6</v>
      </c>
      <c r="AG351" s="33">
        <v>158.80000000000001</v>
      </c>
      <c r="AH351" s="33">
        <v>338.1</v>
      </c>
      <c r="AI351" s="33">
        <v>337.2</v>
      </c>
      <c r="AJ351" s="33">
        <v>171.2</v>
      </c>
      <c r="AK351" s="33">
        <v>174.7</v>
      </c>
      <c r="AL351" s="26">
        <v>4040.9999999999995</v>
      </c>
    </row>
    <row r="352" spans="1:38" x14ac:dyDescent="0.35">
      <c r="A352" t="s">
        <v>73</v>
      </c>
      <c r="B352">
        <v>2022</v>
      </c>
      <c r="C352" t="s">
        <v>207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  <c r="AE352" s="33">
        <v>2493.6000000000004</v>
      </c>
      <c r="AF352" s="33">
        <v>340.29999999999995</v>
      </c>
      <c r="AG352" s="33">
        <v>162.9</v>
      </c>
      <c r="AH352" s="33">
        <v>357.20000000000005</v>
      </c>
      <c r="AI352" s="33">
        <v>341.6</v>
      </c>
      <c r="AJ352" s="33">
        <v>173.4</v>
      </c>
      <c r="AK352" s="33">
        <v>178.7</v>
      </c>
      <c r="AL352" s="26">
        <v>4047.7000000000007</v>
      </c>
    </row>
    <row r="353" spans="1:38" hidden="1" x14ac:dyDescent="0.35">
      <c r="A353" t="s">
        <v>30</v>
      </c>
      <c r="B353">
        <v>2022</v>
      </c>
      <c r="C353" t="s">
        <v>233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>
        <v>100.3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  <c r="AE353" s="33">
        <v>2483.1999999999998</v>
      </c>
      <c r="AF353" s="33">
        <v>344.20000000000005</v>
      </c>
      <c r="AG353" s="33">
        <v>167.5</v>
      </c>
      <c r="AH353" s="33">
        <v>372.4</v>
      </c>
      <c r="AI353" s="33">
        <v>275.8</v>
      </c>
      <c r="AJ353" s="33">
        <v>176.9</v>
      </c>
      <c r="AK353" s="33">
        <v>182.3</v>
      </c>
      <c r="AL353" s="26">
        <v>4002.3</v>
      </c>
    </row>
    <row r="354" spans="1:38" hidden="1" x14ac:dyDescent="0.35">
      <c r="A354" t="s">
        <v>54</v>
      </c>
      <c r="B354">
        <v>2022</v>
      </c>
      <c r="C354" t="s">
        <v>233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  <c r="AE354" s="33">
        <v>2515</v>
      </c>
      <c r="AF354" s="33">
        <v>340.5</v>
      </c>
      <c r="AG354" s="33">
        <v>158.9</v>
      </c>
      <c r="AH354" s="33">
        <v>340.2</v>
      </c>
      <c r="AI354" s="33">
        <v>338.70000000000005</v>
      </c>
      <c r="AJ354" s="33">
        <v>171.5</v>
      </c>
      <c r="AK354" s="33">
        <v>175.8</v>
      </c>
      <c r="AL354" s="26">
        <v>4040.6000000000004</v>
      </c>
    </row>
    <row r="355" spans="1:38" x14ac:dyDescent="0.35">
      <c r="A355" t="s">
        <v>73</v>
      </c>
      <c r="B355">
        <v>2022</v>
      </c>
      <c r="C355" t="s">
        <v>233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  <c r="AE355" s="33">
        <v>2493.7000000000003</v>
      </c>
      <c r="AF355" s="33">
        <v>342.1</v>
      </c>
      <c r="AG355" s="33">
        <v>163</v>
      </c>
      <c r="AH355" s="33">
        <v>359.29999999999995</v>
      </c>
      <c r="AI355" s="33">
        <v>343.20000000000005</v>
      </c>
      <c r="AJ355" s="33">
        <v>173.7</v>
      </c>
      <c r="AK355" s="33">
        <v>179.8</v>
      </c>
      <c r="AL355" s="26">
        <v>4054.8</v>
      </c>
    </row>
    <row r="356" spans="1:38" hidden="1" x14ac:dyDescent="0.35">
      <c r="A356" t="s">
        <v>30</v>
      </c>
      <c r="B356">
        <v>2022</v>
      </c>
      <c r="C356" t="s">
        <v>242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>
        <v>100.3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  <c r="AE356" s="33">
        <v>2473</v>
      </c>
      <c r="AF356" s="33">
        <v>346.9</v>
      </c>
      <c r="AG356" s="33">
        <v>167.8</v>
      </c>
      <c r="AH356" s="33">
        <v>374</v>
      </c>
      <c r="AI356" s="33">
        <v>276.7</v>
      </c>
      <c r="AJ356" s="33">
        <v>177.3</v>
      </c>
      <c r="AK356" s="33">
        <v>183.5</v>
      </c>
      <c r="AL356" s="26">
        <v>3999.2000000000003</v>
      </c>
    </row>
    <row r="357" spans="1:38" hidden="1" x14ac:dyDescent="0.35">
      <c r="A357" t="s">
        <v>54</v>
      </c>
      <c r="B357">
        <v>2022</v>
      </c>
      <c r="C357" t="s">
        <v>242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  <c r="AE357" s="33">
        <v>2496.8999999999996</v>
      </c>
      <c r="AF357" s="33">
        <v>343.1</v>
      </c>
      <c r="AG357" s="33">
        <v>159.4</v>
      </c>
      <c r="AH357" s="33">
        <v>342.2</v>
      </c>
      <c r="AI357" s="33">
        <v>338</v>
      </c>
      <c r="AJ357" s="33">
        <v>171.8</v>
      </c>
      <c r="AK357" s="33">
        <v>177.2</v>
      </c>
      <c r="AL357" s="26">
        <v>4028.5999999999995</v>
      </c>
    </row>
    <row r="358" spans="1:38" x14ac:dyDescent="0.35">
      <c r="A358" t="s">
        <v>73</v>
      </c>
      <c r="B358">
        <v>2022</v>
      </c>
      <c r="C358" t="s">
        <v>242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  <c r="AE358" s="33">
        <v>2480.7000000000003</v>
      </c>
      <c r="AF358" s="33">
        <v>344.70000000000005</v>
      </c>
      <c r="AG358" s="33">
        <v>163.4</v>
      </c>
      <c r="AH358" s="33">
        <v>361</v>
      </c>
      <c r="AI358" s="33">
        <v>342.79999999999995</v>
      </c>
      <c r="AJ358" s="33">
        <v>174.1</v>
      </c>
      <c r="AK358" s="33">
        <v>181.1</v>
      </c>
      <c r="AL358" s="26">
        <v>4047.8</v>
      </c>
    </row>
    <row r="359" spans="1:38" hidden="1" x14ac:dyDescent="0.3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>
        <v>100.3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  <c r="AE359" s="33">
        <v>2480.1000000000004</v>
      </c>
      <c r="AF359" s="33">
        <v>350.20000000000005</v>
      </c>
      <c r="AG359" s="33">
        <v>168.2</v>
      </c>
      <c r="AH359" s="33">
        <v>375.3</v>
      </c>
      <c r="AI359" s="33">
        <v>277.5</v>
      </c>
      <c r="AJ359" s="33">
        <v>177.8</v>
      </c>
      <c r="AK359" s="33">
        <v>184.7</v>
      </c>
      <c r="AL359" s="26">
        <v>4013.8</v>
      </c>
    </row>
    <row r="360" spans="1:38" hidden="1" x14ac:dyDescent="0.35">
      <c r="A360" t="s">
        <v>54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  <c r="AE360" s="33">
        <v>2511.8000000000002</v>
      </c>
      <c r="AF360" s="33">
        <v>346.6</v>
      </c>
      <c r="AG360" s="33">
        <v>159.5</v>
      </c>
      <c r="AH360" s="33">
        <v>344</v>
      </c>
      <c r="AI360" s="33">
        <v>340.1</v>
      </c>
      <c r="AJ360" s="33">
        <v>171.8</v>
      </c>
      <c r="AK360" s="33">
        <v>178.5</v>
      </c>
      <c r="AL360" s="26">
        <v>4052.3</v>
      </c>
    </row>
    <row r="361" spans="1:38" x14ac:dyDescent="0.35">
      <c r="A361" t="s">
        <v>73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  <c r="AE361" s="33">
        <v>2490.8999999999996</v>
      </c>
      <c r="AF361" s="33">
        <v>348.1</v>
      </c>
      <c r="AG361" s="33">
        <v>163.6</v>
      </c>
      <c r="AH361" s="33">
        <v>362.5</v>
      </c>
      <c r="AI361" s="33">
        <v>345</v>
      </c>
      <c r="AJ361" s="33">
        <v>174.3</v>
      </c>
      <c r="AK361" s="33">
        <v>182.3</v>
      </c>
      <c r="AL361" s="26">
        <v>4066.7</v>
      </c>
    </row>
    <row r="362" spans="1:38" hidden="1" x14ac:dyDescent="0.35">
      <c r="A362" t="s">
        <v>30</v>
      </c>
      <c r="B362">
        <v>2023</v>
      </c>
      <c r="C362" t="s">
        <v>85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>
        <v>100.3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  <c r="AE362" s="33">
        <v>2464</v>
      </c>
      <c r="AF362" s="33">
        <v>353.5</v>
      </c>
      <c r="AG362" s="33">
        <v>169</v>
      </c>
      <c r="AH362" s="33">
        <v>377</v>
      </c>
      <c r="AI362" s="33">
        <v>278.89999999999998</v>
      </c>
      <c r="AJ362" s="33">
        <v>178.5</v>
      </c>
      <c r="AK362" s="33">
        <v>186.6</v>
      </c>
      <c r="AL362" s="26">
        <v>4007.5</v>
      </c>
    </row>
    <row r="363" spans="1:38" hidden="1" x14ac:dyDescent="0.35">
      <c r="A363" t="s">
        <v>54</v>
      </c>
      <c r="B363">
        <v>2023</v>
      </c>
      <c r="C363" t="s">
        <v>85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  <c r="AE363" s="33">
        <v>2505.8999999999996</v>
      </c>
      <c r="AF363" s="33">
        <v>349.8</v>
      </c>
      <c r="AG363" s="33">
        <v>159.80000000000001</v>
      </c>
      <c r="AH363" s="33">
        <v>347.3</v>
      </c>
      <c r="AI363" s="33">
        <v>342.7</v>
      </c>
      <c r="AJ363" s="33">
        <v>172.5</v>
      </c>
      <c r="AK363" s="33">
        <v>180.8</v>
      </c>
      <c r="AL363" s="26">
        <v>4058.8</v>
      </c>
    </row>
    <row r="364" spans="1:38" x14ac:dyDescent="0.35">
      <c r="A364" t="s">
        <v>73</v>
      </c>
      <c r="B364">
        <v>2023</v>
      </c>
      <c r="C364" t="s">
        <v>85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  <c r="AE364" s="33">
        <v>2478.6</v>
      </c>
      <c r="AF364" s="33">
        <v>351.3</v>
      </c>
      <c r="AG364" s="33">
        <v>164.2</v>
      </c>
      <c r="AH364" s="33">
        <v>364.9</v>
      </c>
      <c r="AI364" s="33">
        <v>347.7</v>
      </c>
      <c r="AJ364" s="33">
        <v>175</v>
      </c>
      <c r="AK364" s="33">
        <v>184.4</v>
      </c>
      <c r="AL364" s="26">
        <v>4066.1</v>
      </c>
    </row>
    <row r="365" spans="1:38" hidden="1" x14ac:dyDescent="0.35">
      <c r="A365" t="s">
        <v>30</v>
      </c>
      <c r="B365">
        <v>2023</v>
      </c>
      <c r="C365" t="s">
        <v>107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>
        <v>100.3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  <c r="AE365" s="33">
        <v>2464.2000000000003</v>
      </c>
      <c r="AF365" s="33">
        <v>353.5</v>
      </c>
      <c r="AG365" s="33">
        <v>169</v>
      </c>
      <c r="AH365" s="33">
        <v>377</v>
      </c>
      <c r="AI365" s="33">
        <v>278.89999999999998</v>
      </c>
      <c r="AJ365" s="33">
        <v>178.5</v>
      </c>
      <c r="AK365" s="33">
        <v>186.6</v>
      </c>
      <c r="AL365" s="26">
        <v>4007.7000000000003</v>
      </c>
    </row>
    <row r="366" spans="1:38" hidden="1" x14ac:dyDescent="0.35">
      <c r="A366" t="s">
        <v>54</v>
      </c>
      <c r="B366">
        <v>2023</v>
      </c>
      <c r="C366" t="s">
        <v>107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  <c r="AE366" s="33">
        <v>2506.1</v>
      </c>
      <c r="AF366" s="33">
        <v>349.9</v>
      </c>
      <c r="AG366" s="33">
        <v>159.80000000000001</v>
      </c>
      <c r="AH366" s="33">
        <v>347.2</v>
      </c>
      <c r="AI366" s="33">
        <v>342.7</v>
      </c>
      <c r="AJ366" s="33">
        <v>172.5</v>
      </c>
      <c r="AK366" s="33">
        <v>180.8</v>
      </c>
      <c r="AL366" s="26">
        <v>4059</v>
      </c>
    </row>
    <row r="367" spans="1:38" x14ac:dyDescent="0.35">
      <c r="A367" t="s">
        <v>73</v>
      </c>
      <c r="B367">
        <v>2023</v>
      </c>
      <c r="C367" t="s">
        <v>107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  <c r="AE367" s="33">
        <v>2478.6999999999998</v>
      </c>
      <c r="AF367" s="33">
        <v>351.3</v>
      </c>
      <c r="AG367" s="33">
        <v>164.2</v>
      </c>
      <c r="AH367" s="33">
        <v>364.79999999999995</v>
      </c>
      <c r="AI367" s="33">
        <v>347.7</v>
      </c>
      <c r="AJ367" s="33">
        <v>175</v>
      </c>
      <c r="AK367" s="33">
        <v>184.4</v>
      </c>
      <c r="AL367" s="26">
        <v>4066.1</v>
      </c>
    </row>
    <row r="368" spans="1:38" hidden="1" x14ac:dyDescent="0.35">
      <c r="A368" t="s">
        <v>30</v>
      </c>
      <c r="B368">
        <v>2023</v>
      </c>
      <c r="C368" t="s">
        <v>123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>
        <v>100.3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  <c r="AE368" s="33">
        <v>2473.6999999999998</v>
      </c>
      <c r="AF368" s="33">
        <v>357</v>
      </c>
      <c r="AG368" s="33">
        <v>169.4</v>
      </c>
      <c r="AH368" s="33">
        <v>378</v>
      </c>
      <c r="AI368" s="33">
        <v>279.39999999999998</v>
      </c>
      <c r="AJ368" s="33">
        <v>179.4</v>
      </c>
      <c r="AK368" s="33">
        <v>187.2</v>
      </c>
      <c r="AL368" s="26">
        <v>4024.1</v>
      </c>
    </row>
    <row r="369" spans="1:38" hidden="1" x14ac:dyDescent="0.35">
      <c r="A369" t="s">
        <v>54</v>
      </c>
      <c r="B369">
        <v>2023</v>
      </c>
      <c r="C369" t="s">
        <v>123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  <c r="AE369" s="33">
        <v>2521.2000000000003</v>
      </c>
      <c r="AF369" s="33">
        <v>353.20000000000005</v>
      </c>
      <c r="AG369" s="33">
        <v>160.1</v>
      </c>
      <c r="AH369" s="33">
        <v>348.7</v>
      </c>
      <c r="AI369" s="33">
        <v>344.79999999999995</v>
      </c>
      <c r="AJ369" s="33">
        <v>174.2</v>
      </c>
      <c r="AK369" s="33">
        <v>181.5</v>
      </c>
      <c r="AL369" s="26">
        <v>4083.7</v>
      </c>
    </row>
    <row r="370" spans="1:38" x14ac:dyDescent="0.35">
      <c r="A370" t="s">
        <v>73</v>
      </c>
      <c r="B370">
        <v>2023</v>
      </c>
      <c r="C370" t="s">
        <v>123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  <c r="AE370" s="33">
        <v>2490.2000000000003</v>
      </c>
      <c r="AF370" s="33">
        <v>354.7</v>
      </c>
      <c r="AG370" s="33">
        <v>164.5</v>
      </c>
      <c r="AH370" s="33">
        <v>366.1</v>
      </c>
      <c r="AI370" s="33">
        <v>349.79999999999995</v>
      </c>
      <c r="AJ370" s="33">
        <v>176.4</v>
      </c>
      <c r="AK370" s="33">
        <v>185</v>
      </c>
      <c r="AL370" s="26">
        <v>4086.7000000000003</v>
      </c>
    </row>
    <row r="371" spans="1:38" hidden="1" x14ac:dyDescent="0.35">
      <c r="A371" t="s">
        <v>30</v>
      </c>
      <c r="B371">
        <v>2023</v>
      </c>
      <c r="C371" t="s">
        <v>136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>
        <v>100.3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  <c r="AE371" s="33">
        <v>2490.6000000000008</v>
      </c>
      <c r="AF371" s="33">
        <v>358.70000000000005</v>
      </c>
      <c r="AG371" s="33">
        <v>169.7</v>
      </c>
      <c r="AH371" s="33">
        <v>379.1</v>
      </c>
      <c r="AI371" s="33">
        <v>280.10000000000002</v>
      </c>
      <c r="AJ371" s="33">
        <v>180.3</v>
      </c>
      <c r="AK371" s="33">
        <v>187.8</v>
      </c>
      <c r="AL371" s="26">
        <v>4046.3000000000011</v>
      </c>
    </row>
    <row r="372" spans="1:38" hidden="1" x14ac:dyDescent="0.35">
      <c r="A372" t="s">
        <v>54</v>
      </c>
      <c r="B372">
        <v>2023</v>
      </c>
      <c r="C372" t="s">
        <v>136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  <c r="AE372" s="33">
        <v>2539.2999999999997</v>
      </c>
      <c r="AF372" s="33">
        <v>354.79999999999995</v>
      </c>
      <c r="AG372" s="33">
        <v>160.4</v>
      </c>
      <c r="AH372" s="33">
        <v>349.4</v>
      </c>
      <c r="AI372" s="33">
        <v>345.7</v>
      </c>
      <c r="AJ372" s="33">
        <v>174.8</v>
      </c>
      <c r="AK372" s="33">
        <v>182.2</v>
      </c>
      <c r="AL372" s="26">
        <v>4106.5999999999995</v>
      </c>
    </row>
    <row r="373" spans="1:38" x14ac:dyDescent="0.35">
      <c r="A373" t="s">
        <v>73</v>
      </c>
      <c r="B373">
        <v>2023</v>
      </c>
      <c r="C373" t="s">
        <v>136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  <c r="AE373" s="33">
        <v>2507.9</v>
      </c>
      <c r="AF373" s="33">
        <v>356.4</v>
      </c>
      <c r="AG373" s="33">
        <v>164.8</v>
      </c>
      <c r="AH373" s="33">
        <v>367</v>
      </c>
      <c r="AI373" s="33">
        <v>350.79999999999995</v>
      </c>
      <c r="AJ373" s="33">
        <v>177.1</v>
      </c>
      <c r="AK373" s="33">
        <v>185.7</v>
      </c>
      <c r="AL373" s="26">
        <v>4109.7000000000007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11B7-1841-481A-B55C-11B6E98BFCA1}">
  <dimension ref="A1:Z215"/>
  <sheetViews>
    <sheetView showGridLines="0" tabSelected="1" topLeftCell="A14" zoomScaleNormal="100" workbookViewId="0">
      <selection activeCell="L50" sqref="L50"/>
    </sheetView>
  </sheetViews>
  <sheetFormatPr defaultRowHeight="14.5" x14ac:dyDescent="0.35"/>
  <cols>
    <col min="1" max="1" width="12.90625" customWidth="1"/>
    <col min="2" max="2" width="12.81640625" customWidth="1"/>
    <col min="3" max="3" width="11.08984375" customWidth="1"/>
    <col min="4" max="4" width="11" customWidth="1"/>
    <col min="5" max="5" width="10" customWidth="1"/>
    <col min="6" max="6" width="12.81640625" customWidth="1"/>
    <col min="7" max="7" width="10.6328125" customWidth="1"/>
    <col min="8" max="8" width="10.54296875" customWidth="1"/>
    <col min="9" max="9" width="12.1796875" customWidth="1"/>
    <col min="10" max="10" width="10.453125" customWidth="1"/>
    <col min="11" max="11" width="13" customWidth="1"/>
    <col min="12" max="12" width="10.6328125" customWidth="1"/>
    <col min="14" max="14" width="15.6328125" customWidth="1"/>
    <col min="15" max="15" width="23.453125" customWidth="1"/>
    <col min="16" max="16" width="23.81640625" customWidth="1"/>
    <col min="17" max="17" width="21.81640625" customWidth="1"/>
    <col min="18" max="18" width="11.54296875" customWidth="1"/>
    <col min="19" max="19" width="11.26953125" customWidth="1"/>
    <col min="21" max="21" width="9.26953125" customWidth="1"/>
    <col min="22" max="22" width="11.36328125" bestFit="1" customWidth="1"/>
    <col min="24" max="24" width="9.90625" bestFit="1" customWidth="1"/>
    <col min="25" max="25" width="13.6328125" bestFit="1" customWidth="1"/>
    <col min="26" max="26" width="14.1796875" bestFit="1" customWidth="1"/>
  </cols>
  <sheetData>
    <row r="1" spans="1:26" x14ac:dyDescent="0.35">
      <c r="A1" s="140" t="s">
        <v>1222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39"/>
      <c r="W1" s="139"/>
      <c r="X1" s="139"/>
      <c r="Y1" s="139"/>
      <c r="Z1" s="139"/>
    </row>
    <row r="2" spans="1:26" x14ac:dyDescent="0.35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39"/>
      <c r="W2" s="139"/>
      <c r="X2" s="139"/>
      <c r="Y2" s="139"/>
      <c r="Z2" s="139"/>
    </row>
    <row r="3" spans="1:26" x14ac:dyDescent="0.3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39"/>
      <c r="W3" s="139"/>
      <c r="X3" s="139"/>
      <c r="Y3" s="139"/>
      <c r="Z3" s="139"/>
    </row>
    <row r="4" spans="1:26" x14ac:dyDescent="0.35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 ht="18.5" x14ac:dyDescent="0.45">
      <c r="A5" s="125" t="s">
        <v>1152</v>
      </c>
      <c r="B5" s="86"/>
      <c r="C5" s="86"/>
      <c r="D5" s="86"/>
      <c r="E5" s="86"/>
      <c r="F5" s="86"/>
      <c r="G5" s="86"/>
      <c r="H5" s="86"/>
      <c r="I5" s="86"/>
      <c r="J5" s="86"/>
      <c r="K5" s="124" t="s">
        <v>1212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x14ac:dyDescent="0.35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 x14ac:dyDescent="0.35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 x14ac:dyDescent="0.35">
      <c r="A8" s="86"/>
      <c r="C8" s="86"/>
      <c r="D8" s="86"/>
      <c r="E8" s="86"/>
      <c r="F8" s="86"/>
      <c r="G8" s="86"/>
      <c r="H8" s="86"/>
      <c r="I8" s="86"/>
      <c r="J8" s="86"/>
      <c r="K8" s="147" t="s">
        <v>1214</v>
      </c>
      <c r="L8" s="147" t="s">
        <v>1</v>
      </c>
      <c r="M8" s="147" t="s">
        <v>2</v>
      </c>
      <c r="N8" s="147" t="s">
        <v>1159</v>
      </c>
      <c r="O8" s="148" t="s">
        <v>1160</v>
      </c>
      <c r="P8" s="147" t="s">
        <v>1161</v>
      </c>
      <c r="Q8" s="147" t="s">
        <v>1156</v>
      </c>
      <c r="R8" s="147" t="s">
        <v>1157</v>
      </c>
      <c r="S8" s="147" t="s">
        <v>26</v>
      </c>
      <c r="T8" s="147" t="s">
        <v>23</v>
      </c>
      <c r="U8" s="149" t="s">
        <v>1213</v>
      </c>
      <c r="V8" s="86"/>
      <c r="W8" s="86"/>
      <c r="X8" s="86"/>
      <c r="Y8" s="86"/>
      <c r="Z8" s="86"/>
    </row>
    <row r="9" spans="1:26" x14ac:dyDescent="0.35">
      <c r="A9" s="86"/>
      <c r="B9" s="86"/>
      <c r="C9" s="86"/>
      <c r="D9" s="86"/>
      <c r="E9" s="86"/>
      <c r="F9" s="86"/>
      <c r="G9" s="86"/>
      <c r="H9" s="86"/>
      <c r="I9" s="86"/>
      <c r="J9" s="86"/>
      <c r="K9" s="141" t="s">
        <v>73</v>
      </c>
      <c r="L9" s="142">
        <v>2023</v>
      </c>
      <c r="M9" s="142" t="s">
        <v>136</v>
      </c>
      <c r="N9" s="141">
        <v>2507.9</v>
      </c>
      <c r="O9" s="141">
        <v>356.4</v>
      </c>
      <c r="P9" s="141">
        <v>164.8</v>
      </c>
      <c r="Q9" s="141">
        <v>367</v>
      </c>
      <c r="R9" s="141">
        <v>350.79999999999995</v>
      </c>
      <c r="S9" s="141">
        <v>177.1</v>
      </c>
      <c r="T9" s="141">
        <v>185.7</v>
      </c>
      <c r="U9" s="143">
        <f>SUM(N9:T9)</f>
        <v>4109.7000000000007</v>
      </c>
      <c r="V9" s="86"/>
      <c r="W9" s="86"/>
      <c r="X9" s="86"/>
      <c r="Y9" s="86"/>
      <c r="Z9" s="86"/>
    </row>
    <row r="10" spans="1:26" x14ac:dyDescent="0.35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144"/>
      <c r="L10" s="144"/>
      <c r="M10" s="144"/>
      <c r="N10" s="145">
        <f>N9/$U$9</f>
        <v>0.6102391902085309</v>
      </c>
      <c r="O10" s="145">
        <f t="shared" ref="O10:T10" si="0">O9/$U$9</f>
        <v>8.6721658515220068E-2</v>
      </c>
      <c r="P10" s="145">
        <f t="shared" si="0"/>
        <v>4.0100250626566414E-2</v>
      </c>
      <c r="Q10" s="145">
        <f t="shared" si="0"/>
        <v>8.9300922208433692E-2</v>
      </c>
      <c r="R10" s="145">
        <f t="shared" si="0"/>
        <v>8.5359028639560033E-2</v>
      </c>
      <c r="S10" s="145">
        <f t="shared" si="0"/>
        <v>4.3093169817748245E-2</v>
      </c>
      <c r="T10" s="145">
        <f t="shared" si="0"/>
        <v>4.5185779983940424E-2</v>
      </c>
      <c r="U10" s="146"/>
      <c r="V10" s="86"/>
      <c r="W10" s="86"/>
      <c r="X10" s="86"/>
      <c r="Y10" s="86"/>
      <c r="Z10" s="86"/>
    </row>
    <row r="11" spans="1:26" x14ac:dyDescent="0.35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 x14ac:dyDescent="0.35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 x14ac:dyDescent="0.35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 x14ac:dyDescent="0.35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ht="15.5" x14ac:dyDescent="0.35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124" t="s">
        <v>1172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 ht="15.5" x14ac:dyDescent="0.35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124" t="s">
        <v>1223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 ht="15.5" x14ac:dyDescent="0.35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124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 ht="15.5" x14ac:dyDescent="0.35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124" t="s">
        <v>1224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 x14ac:dyDescent="0.35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x14ac:dyDescent="0.35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 x14ac:dyDescent="0.35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 x14ac:dyDescent="0.35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spans="1:26" ht="18.5" x14ac:dyDescent="0.45">
      <c r="A23" s="127" t="s">
        <v>1165</v>
      </c>
      <c r="B23" s="128"/>
      <c r="C23" s="128"/>
      <c r="D23" s="128"/>
      <c r="E23" s="128"/>
      <c r="F23" s="128"/>
      <c r="G23" s="128"/>
      <c r="H23" s="128"/>
      <c r="I23" s="128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x14ac:dyDescent="0.35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5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spans="1:26" x14ac:dyDescent="0.3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spans="1:26" x14ac:dyDescent="0.35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spans="1:26" ht="20" thickBot="1" x14ac:dyDescent="0.5">
      <c r="A27" s="83"/>
      <c r="B27" s="83"/>
      <c r="C27" s="83"/>
      <c r="D27" s="83"/>
      <c r="E27" s="87" t="s">
        <v>1210</v>
      </c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spans="1:26" ht="15" thickTop="1" x14ac:dyDescent="0.35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spans="1:26" x14ac:dyDescent="0.35">
      <c r="A29" s="83"/>
      <c r="B29" s="88" t="s">
        <v>1208</v>
      </c>
      <c r="C29" s="88" t="s">
        <v>31</v>
      </c>
      <c r="D29" s="88" t="s">
        <v>85</v>
      </c>
      <c r="E29" s="88" t="s">
        <v>107</v>
      </c>
      <c r="F29" s="88" t="s">
        <v>123</v>
      </c>
      <c r="G29" s="88" t="s">
        <v>136</v>
      </c>
      <c r="H29" s="88" t="s">
        <v>146</v>
      </c>
      <c r="I29" s="88" t="s">
        <v>163</v>
      </c>
      <c r="J29" s="88" t="s">
        <v>182</v>
      </c>
      <c r="K29" s="88" t="s">
        <v>197</v>
      </c>
      <c r="L29" s="88" t="s">
        <v>207</v>
      </c>
      <c r="M29" s="88" t="s">
        <v>233</v>
      </c>
      <c r="N29" s="88" t="s">
        <v>242</v>
      </c>
      <c r="O29" s="88" t="s">
        <v>1168</v>
      </c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 x14ac:dyDescent="0.35">
      <c r="A30" s="83"/>
      <c r="B30" s="84">
        <v>2017</v>
      </c>
      <c r="C30" s="89">
        <v>130.30000000000001</v>
      </c>
      <c r="D30" s="89">
        <v>130.6</v>
      </c>
      <c r="E30" s="89">
        <v>130.9</v>
      </c>
      <c r="F30" s="89">
        <v>131.1</v>
      </c>
      <c r="G30" s="89">
        <v>131.4</v>
      </c>
      <c r="H30" s="89">
        <v>132</v>
      </c>
      <c r="I30" s="89">
        <v>134.19999999999999</v>
      </c>
      <c r="J30" s="89">
        <v>135.4</v>
      </c>
      <c r="K30" s="89">
        <v>135.19999999999999</v>
      </c>
      <c r="L30" s="89">
        <v>136.1</v>
      </c>
      <c r="M30" s="89">
        <v>137.6</v>
      </c>
      <c r="N30" s="89">
        <v>137.19999999999999</v>
      </c>
      <c r="O30" s="90">
        <f>(N30-C30)/C30</f>
        <v>5.295471987720627E-2</v>
      </c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 x14ac:dyDescent="0.35">
      <c r="A31" s="83"/>
      <c r="B31" s="84">
        <v>2018</v>
      </c>
      <c r="C31" s="89">
        <v>136.9</v>
      </c>
      <c r="D31" s="89">
        <v>136.4</v>
      </c>
      <c r="E31" s="89">
        <v>136.5</v>
      </c>
      <c r="F31" s="89">
        <v>137.1</v>
      </c>
      <c r="G31" s="89">
        <v>137.80000000000001</v>
      </c>
      <c r="H31" s="89">
        <v>138.5</v>
      </c>
      <c r="I31" s="89">
        <v>139.80000000000001</v>
      </c>
      <c r="J31" s="89">
        <v>140.4</v>
      </c>
      <c r="K31" s="89">
        <v>140.19999999999999</v>
      </c>
      <c r="L31" s="89">
        <v>140.80000000000001</v>
      </c>
      <c r="M31" s="89">
        <v>140.80000000000001</v>
      </c>
      <c r="N31" s="89">
        <v>140.1</v>
      </c>
      <c r="O31" s="90">
        <f>(N31-C31)/C31</f>
        <v>2.3374726077428697E-2</v>
      </c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 x14ac:dyDescent="0.35">
      <c r="A32" s="83"/>
      <c r="B32" s="84">
        <v>2019</v>
      </c>
      <c r="C32" s="89">
        <v>139.6</v>
      </c>
      <c r="D32" s="89">
        <v>139.9</v>
      </c>
      <c r="E32" s="89">
        <v>140.4</v>
      </c>
      <c r="F32" s="89"/>
      <c r="G32" s="89">
        <v>142</v>
      </c>
      <c r="H32" s="89">
        <v>142.9</v>
      </c>
      <c r="I32" s="89">
        <v>144.19999999999999</v>
      </c>
      <c r="J32" s="89">
        <v>145</v>
      </c>
      <c r="K32" s="89">
        <v>145.80000000000001</v>
      </c>
      <c r="L32" s="89">
        <v>147.19999999999999</v>
      </c>
      <c r="M32" s="89">
        <v>148.6</v>
      </c>
      <c r="N32" s="89">
        <v>150.4</v>
      </c>
      <c r="O32" s="90">
        <f>(N32-C32)/C32</f>
        <v>7.7363896848137617E-2</v>
      </c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x14ac:dyDescent="0.35">
      <c r="A33" s="83"/>
      <c r="B33" s="84">
        <v>2020</v>
      </c>
      <c r="C33" s="89">
        <v>150.19999999999999</v>
      </c>
      <c r="D33" s="89">
        <v>149.1</v>
      </c>
      <c r="E33" s="89">
        <v>148.6</v>
      </c>
      <c r="F33" s="89">
        <v>148.11249999999998</v>
      </c>
      <c r="G33" s="89">
        <v>148.17343749999998</v>
      </c>
      <c r="H33" s="89">
        <v>151.80000000000001</v>
      </c>
      <c r="I33" s="89">
        <v>151.80000000000001</v>
      </c>
      <c r="J33" s="89">
        <v>153.9</v>
      </c>
      <c r="K33" s="89">
        <v>154.69999999999999</v>
      </c>
      <c r="L33" s="89">
        <v>156.4</v>
      </c>
      <c r="M33" s="89">
        <v>158.4</v>
      </c>
      <c r="N33" s="89">
        <v>158.9</v>
      </c>
      <c r="O33" s="90">
        <f>(N33-C33)/C33</f>
        <v>5.7922769640479481E-2</v>
      </c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spans="1:26" x14ac:dyDescent="0.35">
      <c r="A34" s="83"/>
      <c r="B34" s="84">
        <v>2021</v>
      </c>
      <c r="C34" s="89">
        <v>157.30000000000001</v>
      </c>
      <c r="D34" s="89">
        <v>156.6</v>
      </c>
      <c r="E34" s="89">
        <v>156.80000000000001</v>
      </c>
      <c r="F34" s="89">
        <v>157.80000000000001</v>
      </c>
      <c r="G34" s="89">
        <v>160.4</v>
      </c>
      <c r="H34" s="89">
        <v>161.30000000000001</v>
      </c>
      <c r="I34" s="89">
        <v>162.5</v>
      </c>
      <c r="J34" s="89">
        <v>163.19999999999999</v>
      </c>
      <c r="K34" s="89">
        <v>163.19999999999999</v>
      </c>
      <c r="L34" s="89">
        <v>165.5</v>
      </c>
      <c r="M34" s="89">
        <v>166.7</v>
      </c>
      <c r="N34" s="89">
        <v>166.2</v>
      </c>
      <c r="O34" s="90">
        <f>(N34-C34)/C34</f>
        <v>5.657978385251098E-2</v>
      </c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spans="1:26" x14ac:dyDescent="0.35">
      <c r="A35" s="83"/>
      <c r="B35" s="84">
        <v>2022</v>
      </c>
      <c r="C35" s="89">
        <v>165.7</v>
      </c>
      <c r="D35" s="89">
        <v>166.1</v>
      </c>
      <c r="E35" s="89">
        <v>167.7</v>
      </c>
      <c r="F35" s="89">
        <v>170.1</v>
      </c>
      <c r="G35" s="89">
        <v>171.7</v>
      </c>
      <c r="H35" s="89">
        <v>172.6</v>
      </c>
      <c r="I35" s="89">
        <v>173.4</v>
      </c>
      <c r="J35" s="89">
        <v>174.3</v>
      </c>
      <c r="K35" s="89">
        <v>175.3</v>
      </c>
      <c r="L35" s="89">
        <v>176.7</v>
      </c>
      <c r="M35" s="89">
        <v>176.5</v>
      </c>
      <c r="N35" s="89">
        <v>175.7</v>
      </c>
      <c r="O35" s="90">
        <f>(N35-C35)/C35</f>
        <v>6.0350030175015092E-2</v>
      </c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spans="1:26" x14ac:dyDescent="0.35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spans="1:26" x14ac:dyDescent="0.35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spans="1:26" x14ac:dyDescent="0.35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1:26" x14ac:dyDescent="0.35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1:26" x14ac:dyDescent="0.35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1:26" ht="15.5" x14ac:dyDescent="0.35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126" t="s">
        <v>1172</v>
      </c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1:26" ht="15.5" x14ac:dyDescent="0.35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126" t="s">
        <v>1209</v>
      </c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1:26" x14ac:dyDescent="0.35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1:26" ht="15.5" x14ac:dyDescent="0.35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126" t="s">
        <v>1226</v>
      </c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1:26" ht="15.5" x14ac:dyDescent="0.3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126" t="s">
        <v>1225</v>
      </c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1:26" x14ac:dyDescent="0.35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1:26" x14ac:dyDescent="0.35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1:26" x14ac:dyDescent="0.35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x14ac:dyDescent="0.35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x14ac:dyDescent="0.35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x14ac:dyDescent="0.35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x14ac:dyDescent="0.35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x14ac:dyDescent="0.35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x14ac:dyDescent="0.35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spans="1:26" ht="18.5" x14ac:dyDescent="0.45">
      <c r="A55" s="129" t="s">
        <v>1180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spans="1:26" x14ac:dyDescent="0.35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spans="1:26" x14ac:dyDescent="0.35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spans="1:26" x14ac:dyDescent="0.35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121" t="s">
        <v>0</v>
      </c>
      <c r="W58" s="121" t="s">
        <v>1</v>
      </c>
      <c r="X58" s="121" t="s">
        <v>2</v>
      </c>
      <c r="Y58" s="121" t="s">
        <v>1159</v>
      </c>
      <c r="Z58" s="121" t="s">
        <v>1181</v>
      </c>
    </row>
    <row r="59" spans="1:26" x14ac:dyDescent="0.35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121" t="s">
        <v>73</v>
      </c>
      <c r="W59" s="121">
        <v>2022</v>
      </c>
      <c r="X59" s="121" t="s">
        <v>123</v>
      </c>
      <c r="Y59" s="122">
        <v>2408.2000000000003</v>
      </c>
      <c r="Z59" s="121"/>
    </row>
    <row r="60" spans="1:26" x14ac:dyDescent="0.35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121" t="s">
        <v>73</v>
      </c>
      <c r="W60" s="121">
        <v>2022</v>
      </c>
      <c r="X60" s="121" t="s">
        <v>136</v>
      </c>
      <c r="Y60" s="122">
        <v>2433.0000000000005</v>
      </c>
      <c r="Z60" s="123">
        <v>1.0298147994352703E-2</v>
      </c>
    </row>
    <row r="61" spans="1:26" x14ac:dyDescent="0.35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121" t="s">
        <v>73</v>
      </c>
      <c r="W61" s="121">
        <v>2022</v>
      </c>
      <c r="X61" s="121" t="s">
        <v>146</v>
      </c>
      <c r="Y61" s="122">
        <v>2456.2000000000003</v>
      </c>
      <c r="Z61" s="123">
        <v>9.5355528154540958E-3</v>
      </c>
    </row>
    <row r="62" spans="1:26" x14ac:dyDescent="0.35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121" t="s">
        <v>73</v>
      </c>
      <c r="W62" s="121">
        <v>2022</v>
      </c>
      <c r="X62" s="121" t="s">
        <v>163</v>
      </c>
      <c r="Y62" s="122">
        <v>2460.9</v>
      </c>
      <c r="Z62" s="123">
        <v>1.9135249572509638E-3</v>
      </c>
    </row>
    <row r="63" spans="1:26" x14ac:dyDescent="0.35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121" t="s">
        <v>73</v>
      </c>
      <c r="W63" s="121">
        <v>2022</v>
      </c>
      <c r="X63" s="121" t="s">
        <v>182</v>
      </c>
      <c r="Y63" s="122">
        <v>2464.2000000000003</v>
      </c>
      <c r="Z63" s="123">
        <v>1.3409728148239188E-3</v>
      </c>
    </row>
    <row r="64" spans="1:26" x14ac:dyDescent="0.35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121" t="s">
        <v>73</v>
      </c>
      <c r="W64" s="121">
        <v>2022</v>
      </c>
      <c r="X64" s="121" t="s">
        <v>197</v>
      </c>
      <c r="Y64" s="122">
        <v>2476.8000000000002</v>
      </c>
      <c r="Z64" s="123">
        <v>5.1132213294375079E-3</v>
      </c>
    </row>
    <row r="65" spans="1:26" x14ac:dyDescent="0.3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121" t="s">
        <v>73</v>
      </c>
      <c r="W65" s="121">
        <v>2022</v>
      </c>
      <c r="X65" s="121" t="s">
        <v>207</v>
      </c>
      <c r="Y65" s="122">
        <v>2493.6000000000004</v>
      </c>
      <c r="Z65" s="123">
        <v>6.7829457364341813E-3</v>
      </c>
    </row>
    <row r="66" spans="1:26" x14ac:dyDescent="0.35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121" t="s">
        <v>73</v>
      </c>
      <c r="W66" s="121">
        <v>2022</v>
      </c>
      <c r="X66" s="121" t="s">
        <v>233</v>
      </c>
      <c r="Y66" s="122">
        <v>2493.7000000000003</v>
      </c>
      <c r="Z66" s="123">
        <v>4.010266281677456E-5</v>
      </c>
    </row>
    <row r="67" spans="1:26" x14ac:dyDescent="0.35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121" t="s">
        <v>73</v>
      </c>
      <c r="W67" s="121">
        <v>2022</v>
      </c>
      <c r="X67" s="121" t="s">
        <v>242</v>
      </c>
      <c r="Y67" s="122">
        <v>2480.7000000000003</v>
      </c>
      <c r="Z67" s="123">
        <v>-5.2131371055058745E-3</v>
      </c>
    </row>
    <row r="68" spans="1:26" x14ac:dyDescent="0.35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121" t="s">
        <v>73</v>
      </c>
      <c r="W68" s="121">
        <v>2023</v>
      </c>
      <c r="X68" s="121" t="s">
        <v>31</v>
      </c>
      <c r="Y68" s="122">
        <v>2490.8999999999996</v>
      </c>
      <c r="Z68" s="123">
        <v>4.1117426532830906E-3</v>
      </c>
    </row>
    <row r="69" spans="1:26" x14ac:dyDescent="0.35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121" t="s">
        <v>73</v>
      </c>
      <c r="W69" s="121">
        <v>2023</v>
      </c>
      <c r="X69" s="121" t="s">
        <v>85</v>
      </c>
      <c r="Y69" s="122">
        <v>2478.6</v>
      </c>
      <c r="Z69" s="123">
        <v>-4.9379742261831984E-3</v>
      </c>
    </row>
    <row r="70" spans="1:26" x14ac:dyDescent="0.35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121" t="s">
        <v>73</v>
      </c>
      <c r="W70" s="121">
        <v>2023</v>
      </c>
      <c r="X70" s="121" t="s">
        <v>107</v>
      </c>
      <c r="Y70" s="122">
        <v>2478.6999999999998</v>
      </c>
      <c r="Z70" s="123">
        <v>4.034535624945899E-5</v>
      </c>
    </row>
    <row r="71" spans="1:26" x14ac:dyDescent="0.35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121" t="s">
        <v>73</v>
      </c>
      <c r="W71" s="121">
        <v>2023</v>
      </c>
      <c r="X71" s="121" t="s">
        <v>123</v>
      </c>
      <c r="Y71" s="122">
        <v>2490.2000000000003</v>
      </c>
      <c r="Z71" s="123">
        <v>4.6395287852505169E-3</v>
      </c>
    </row>
    <row r="72" spans="1:26" x14ac:dyDescent="0.35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121" t="s">
        <v>73</v>
      </c>
      <c r="W72" s="121">
        <v>2023</v>
      </c>
      <c r="X72" s="121" t="s">
        <v>136</v>
      </c>
      <c r="Y72" s="122">
        <v>2507.9</v>
      </c>
      <c r="Z72" s="123">
        <v>7.107862822263198E-3</v>
      </c>
    </row>
    <row r="73" spans="1:26" ht="15.5" x14ac:dyDescent="0.35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130" t="s">
        <v>1182</v>
      </c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spans="1:26" ht="15.5" x14ac:dyDescent="0.35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130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spans="1:26" ht="15.5" x14ac:dyDescent="0.3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130" t="s">
        <v>1198</v>
      </c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spans="1:26" ht="15.5" x14ac:dyDescent="0.35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130" t="s">
        <v>1199</v>
      </c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spans="1:26" ht="15.5" x14ac:dyDescent="0.35">
      <c r="A77" s="91"/>
      <c r="B77" s="138" t="s">
        <v>1183</v>
      </c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spans="1:26" x14ac:dyDescent="0.35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spans="1:26" x14ac:dyDescent="0.35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spans="1:26" x14ac:dyDescent="0.35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spans="1:26" x14ac:dyDescent="0.35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spans="1:26" x14ac:dyDescent="0.35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spans="1:26" x14ac:dyDescent="0.35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spans="1:26" x14ac:dyDescent="0.3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spans="1:26" x14ac:dyDescent="0.3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spans="1:26" x14ac:dyDescent="0.35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spans="1:26" x14ac:dyDescent="0.35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spans="1:26" x14ac:dyDescent="0.35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spans="1:26" x14ac:dyDescent="0.35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spans="1:26" x14ac:dyDescent="0.35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spans="1:26" x14ac:dyDescent="0.35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spans="1:26" x14ac:dyDescent="0.35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spans="1:26" x14ac:dyDescent="0.35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spans="1:26" x14ac:dyDescent="0.35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spans="1:26" x14ac:dyDescent="0.35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spans="1:26" x14ac:dyDescent="0.35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spans="1:26" x14ac:dyDescent="0.35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spans="1:26" x14ac:dyDescent="0.35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spans="1:26" x14ac:dyDescent="0.35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spans="1:26" x14ac:dyDescent="0.35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spans="1:26" x14ac:dyDescent="0.35">
      <c r="A101" s="91"/>
      <c r="B101" s="91"/>
      <c r="C101" s="92" t="s">
        <v>1172</v>
      </c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spans="1:26" x14ac:dyDescent="0.35">
      <c r="A102" s="91"/>
      <c r="B102" s="91"/>
      <c r="C102" s="91" t="s">
        <v>1184</v>
      </c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spans="1:26" x14ac:dyDescent="0.35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spans="1:26" x14ac:dyDescent="0.35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spans="1:26" x14ac:dyDescent="0.35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spans="1:26" ht="18.5" x14ac:dyDescent="0.45">
      <c r="A106" s="132" t="s">
        <v>1218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spans="1:26" x14ac:dyDescent="0.35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spans="1:26" x14ac:dyDescent="0.35">
      <c r="A108" s="93"/>
      <c r="B108" s="93"/>
      <c r="C108" s="133" t="s">
        <v>1216</v>
      </c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spans="1:26" x14ac:dyDescent="0.35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spans="1:26" x14ac:dyDescent="0.35">
      <c r="A110" s="104" t="s">
        <v>0</v>
      </c>
      <c r="B110" s="104" t="s">
        <v>1</v>
      </c>
      <c r="C110" s="104" t="s">
        <v>2</v>
      </c>
      <c r="D110" s="105" t="s">
        <v>1217</v>
      </c>
      <c r="E110" s="104" t="s">
        <v>1215</v>
      </c>
      <c r="F110" s="104" t="s">
        <v>1161</v>
      </c>
      <c r="G110" s="104" t="s">
        <v>1215</v>
      </c>
      <c r="H110" s="104" t="s">
        <v>26</v>
      </c>
      <c r="I110" s="104" t="s">
        <v>1215</v>
      </c>
      <c r="J110" s="104" t="s">
        <v>23</v>
      </c>
      <c r="K110" s="104" t="s">
        <v>1215</v>
      </c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spans="1:26" x14ac:dyDescent="0.35">
      <c r="A111" s="94" t="s">
        <v>73</v>
      </c>
      <c r="B111" s="94">
        <v>2018</v>
      </c>
      <c r="C111" s="94" t="s">
        <v>31</v>
      </c>
      <c r="D111" s="94">
        <v>1934.6000000000001</v>
      </c>
      <c r="E111" s="95"/>
      <c r="F111" s="94">
        <v>119.3</v>
      </c>
      <c r="G111" s="95"/>
      <c r="H111" s="96">
        <v>139</v>
      </c>
      <c r="I111" s="95"/>
      <c r="J111" s="94">
        <v>133.30000000000001</v>
      </c>
      <c r="K111" s="95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spans="1:26" x14ac:dyDescent="0.35">
      <c r="A112" s="94" t="s">
        <v>73</v>
      </c>
      <c r="B112" s="94">
        <v>2018</v>
      </c>
      <c r="C112" s="94" t="s">
        <v>85</v>
      </c>
      <c r="D112" s="94">
        <v>1915.2999999999997</v>
      </c>
      <c r="E112" s="97">
        <v>-9.9762224749304282E-3</v>
      </c>
      <c r="F112" s="94">
        <v>120.2</v>
      </c>
      <c r="G112" s="97">
        <v>7.5440067057837863E-3</v>
      </c>
      <c r="H112" s="96">
        <v>139</v>
      </c>
      <c r="I112" s="97">
        <v>0</v>
      </c>
      <c r="J112" s="94">
        <v>133.80000000000001</v>
      </c>
      <c r="K112" s="97">
        <v>3.7509377344336079E-3</v>
      </c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spans="1:26" x14ac:dyDescent="0.35">
      <c r="A113" s="94" t="s">
        <v>73</v>
      </c>
      <c r="B113" s="94">
        <v>2018</v>
      </c>
      <c r="C113" s="94" t="s">
        <v>107</v>
      </c>
      <c r="D113" s="94">
        <v>1912.3</v>
      </c>
      <c r="E113" s="97">
        <v>-1.5663342557300543E-3</v>
      </c>
      <c r="F113" s="94">
        <v>121</v>
      </c>
      <c r="G113" s="97">
        <v>6.6555740432612072E-3</v>
      </c>
      <c r="H113" s="96">
        <v>139.80000000000001</v>
      </c>
      <c r="I113" s="97">
        <v>5.7553956834533191E-3</v>
      </c>
      <c r="J113" s="94">
        <v>134.30000000000001</v>
      </c>
      <c r="K113" s="97">
        <v>3.7369207772795215E-3</v>
      </c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spans="1:26" x14ac:dyDescent="0.35">
      <c r="A114" s="94" t="s">
        <v>73</v>
      </c>
      <c r="B114" s="94">
        <v>2018</v>
      </c>
      <c r="C114" s="94" t="s">
        <v>123</v>
      </c>
      <c r="D114" s="94">
        <v>1914.0000000000002</v>
      </c>
      <c r="E114" s="97">
        <v>8.8898185431170466E-4</v>
      </c>
      <c r="F114" s="94">
        <v>121.9</v>
      </c>
      <c r="G114" s="97">
        <v>7.4380165289256667E-3</v>
      </c>
      <c r="H114" s="96">
        <v>141.4</v>
      </c>
      <c r="I114" s="97">
        <v>1.144492131616591E-2</v>
      </c>
      <c r="J114" s="94">
        <v>135.19999999999999</v>
      </c>
      <c r="K114" s="97">
        <v>6.7014147431122646E-3</v>
      </c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spans="1:26" x14ac:dyDescent="0.35">
      <c r="A115" s="94" t="s">
        <v>73</v>
      </c>
      <c r="B115" s="94">
        <v>2018</v>
      </c>
      <c r="C115" s="94" t="s">
        <v>136</v>
      </c>
      <c r="D115" s="94">
        <v>1917.7</v>
      </c>
      <c r="E115" s="97">
        <v>1.9331243469173551E-3</v>
      </c>
      <c r="F115" s="94">
        <v>122.9</v>
      </c>
      <c r="G115" s="97">
        <v>8.2034454470877767E-3</v>
      </c>
      <c r="H115" s="96">
        <v>142.1</v>
      </c>
      <c r="I115" s="97">
        <v>4.9504950495048699E-3</v>
      </c>
      <c r="J115" s="94">
        <v>136</v>
      </c>
      <c r="K115" s="97">
        <v>5.9171597633136943E-3</v>
      </c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spans="1:26" x14ac:dyDescent="0.35">
      <c r="A116" s="94" t="s">
        <v>73</v>
      </c>
      <c r="B116" s="94">
        <v>2018</v>
      </c>
      <c r="C116" s="94" t="s">
        <v>146</v>
      </c>
      <c r="D116" s="94">
        <v>1932.4</v>
      </c>
      <c r="E116" s="97">
        <v>7.6654325494081689E-3</v>
      </c>
      <c r="F116" s="94">
        <v>123.7</v>
      </c>
      <c r="G116" s="97">
        <v>6.50935720097638E-3</v>
      </c>
      <c r="H116" s="96">
        <v>142.80000000000001</v>
      </c>
      <c r="I116" s="97">
        <v>4.9261083743843571E-3</v>
      </c>
      <c r="J116" s="94">
        <v>136.19999999999999</v>
      </c>
      <c r="K116" s="97">
        <v>1.4705882352940341E-3</v>
      </c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spans="1:26" x14ac:dyDescent="0.35">
      <c r="A117" s="94" t="s">
        <v>73</v>
      </c>
      <c r="B117" s="94">
        <v>2018</v>
      </c>
      <c r="C117" s="94" t="s">
        <v>163</v>
      </c>
      <c r="D117" s="94">
        <v>1952.8</v>
      </c>
      <c r="E117" s="97">
        <v>1.055682053405085E-2</v>
      </c>
      <c r="F117" s="94">
        <v>123.6</v>
      </c>
      <c r="G117" s="97">
        <v>-8.0840743734849252E-4</v>
      </c>
      <c r="H117" s="96">
        <v>144.69999999999999</v>
      </c>
      <c r="I117" s="97">
        <v>1.3305322128851381E-2</v>
      </c>
      <c r="J117" s="94">
        <v>137</v>
      </c>
      <c r="K117" s="97">
        <v>5.8737151248165302E-3</v>
      </c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spans="1:26" x14ac:dyDescent="0.35">
      <c r="A118" s="94" t="s">
        <v>73</v>
      </c>
      <c r="B118" s="94">
        <v>2018</v>
      </c>
      <c r="C118" s="94" t="s">
        <v>182</v>
      </c>
      <c r="D118" s="94">
        <v>1956.6000000000004</v>
      </c>
      <c r="E118" s="97">
        <v>1.9459238017208158E-3</v>
      </c>
      <c r="F118" s="94">
        <v>124.3</v>
      </c>
      <c r="G118" s="97">
        <v>5.663430420711997E-3</v>
      </c>
      <c r="H118" s="96">
        <v>146</v>
      </c>
      <c r="I118" s="97">
        <v>8.9841050449206046E-3</v>
      </c>
      <c r="J118" s="94">
        <v>137.69999999999999</v>
      </c>
      <c r="K118" s="97">
        <v>5.1094890510948072E-3</v>
      </c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spans="1:26" x14ac:dyDescent="0.35">
      <c r="A119" s="94" t="s">
        <v>73</v>
      </c>
      <c r="B119" s="94">
        <v>2018</v>
      </c>
      <c r="C119" s="94" t="s">
        <v>197</v>
      </c>
      <c r="D119" s="94">
        <v>1938.7</v>
      </c>
      <c r="E119" s="97">
        <v>-9.1485229479711314E-3</v>
      </c>
      <c r="F119" s="94">
        <v>126</v>
      </c>
      <c r="G119" s="97">
        <v>1.3676588897827859E-2</v>
      </c>
      <c r="H119" s="96">
        <v>146.19999999999999</v>
      </c>
      <c r="I119" s="97">
        <v>1.3698630136985523E-3</v>
      </c>
      <c r="J119" s="94">
        <v>138.4</v>
      </c>
      <c r="K119" s="97">
        <v>5.0835148874365807E-3</v>
      </c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spans="1:26" ht="15.5" x14ac:dyDescent="0.35">
      <c r="A120" s="94" t="s">
        <v>73</v>
      </c>
      <c r="B120" s="94">
        <v>2018</v>
      </c>
      <c r="C120" s="94" t="s">
        <v>207</v>
      </c>
      <c r="D120" s="94">
        <v>1938.8</v>
      </c>
      <c r="E120" s="97">
        <v>5.1580956310883093E-5</v>
      </c>
      <c r="F120" s="94">
        <v>125.5</v>
      </c>
      <c r="G120" s="97">
        <v>-3.968253968253968E-3</v>
      </c>
      <c r="H120" s="96">
        <v>147.80000000000001</v>
      </c>
      <c r="I120" s="97">
        <v>1.0943912448700566E-2</v>
      </c>
      <c r="J120" s="94">
        <v>142.1</v>
      </c>
      <c r="K120" s="97">
        <v>2.6734104046242692E-2</v>
      </c>
      <c r="L120" s="93"/>
      <c r="M120" s="131" t="s">
        <v>1188</v>
      </c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spans="1:26" ht="15.5" x14ac:dyDescent="0.35">
      <c r="A121" s="94" t="s">
        <v>73</v>
      </c>
      <c r="B121" s="94">
        <v>2018</v>
      </c>
      <c r="C121" s="94" t="s">
        <v>233</v>
      </c>
      <c r="D121" s="94">
        <v>1938.3000000000002</v>
      </c>
      <c r="E121" s="97">
        <v>-2.578914792654078E-4</v>
      </c>
      <c r="F121" s="94">
        <v>125.5</v>
      </c>
      <c r="G121" s="97">
        <v>0</v>
      </c>
      <c r="H121" s="96">
        <v>147.80000000000001</v>
      </c>
      <c r="I121" s="97">
        <v>0</v>
      </c>
      <c r="J121" s="94">
        <v>142.1</v>
      </c>
      <c r="K121" s="97">
        <v>0</v>
      </c>
      <c r="L121" s="93"/>
      <c r="M121" s="131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spans="1:26" ht="15.5" x14ac:dyDescent="0.35">
      <c r="A122" s="94" t="s">
        <v>73</v>
      </c>
      <c r="B122" s="94">
        <v>2018</v>
      </c>
      <c r="C122" s="94" t="s">
        <v>242</v>
      </c>
      <c r="D122" s="94">
        <v>1925.7999999999997</v>
      </c>
      <c r="E122" s="97">
        <v>-6.4489501109221761E-3</v>
      </c>
      <c r="F122" s="94">
        <v>123.6</v>
      </c>
      <c r="G122" s="97">
        <v>-1.5139442231075743E-2</v>
      </c>
      <c r="H122" s="96">
        <v>150.1</v>
      </c>
      <c r="I122" s="97">
        <v>1.5561569688768489E-2</v>
      </c>
      <c r="J122" s="94">
        <v>144.9</v>
      </c>
      <c r="K122" s="97">
        <v>1.9704433497537026E-2</v>
      </c>
      <c r="L122" s="93"/>
      <c r="M122" s="131" t="s">
        <v>1189</v>
      </c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spans="1:26" ht="15.5" x14ac:dyDescent="0.35">
      <c r="A123" s="94" t="s">
        <v>73</v>
      </c>
      <c r="B123" s="94">
        <v>2019</v>
      </c>
      <c r="C123" s="94" t="s">
        <v>31</v>
      </c>
      <c r="D123" s="94">
        <v>1916.6</v>
      </c>
      <c r="E123" s="97">
        <v>-4.7772354346244782E-3</v>
      </c>
      <c r="F123" s="94">
        <v>123.3</v>
      </c>
      <c r="G123" s="97">
        <v>-2.4271844660193947E-3</v>
      </c>
      <c r="H123" s="96">
        <v>150.19999999999999</v>
      </c>
      <c r="I123" s="97">
        <v>6.6622251832108143E-4</v>
      </c>
      <c r="J123" s="94">
        <v>145.1</v>
      </c>
      <c r="K123" s="97">
        <v>1.3802622498273887E-3</v>
      </c>
      <c r="L123" s="93"/>
      <c r="M123" s="131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spans="1:26" ht="15.5" x14ac:dyDescent="0.35">
      <c r="A124" s="94" t="s">
        <v>73</v>
      </c>
      <c r="B124" s="94">
        <v>2019</v>
      </c>
      <c r="C124" s="94" t="s">
        <v>85</v>
      </c>
      <c r="D124" s="94">
        <v>1920.5</v>
      </c>
      <c r="E124" s="97">
        <v>2.0348533862047853E-3</v>
      </c>
      <c r="F124" s="94">
        <v>123.9</v>
      </c>
      <c r="G124" s="97">
        <v>4.86618004866187E-3</v>
      </c>
      <c r="H124" s="96">
        <v>150.30000000000001</v>
      </c>
      <c r="I124" s="97">
        <v>6.6577896138497164E-4</v>
      </c>
      <c r="J124" s="94">
        <v>145.6</v>
      </c>
      <c r="K124" s="97">
        <v>3.4458993797381117E-3</v>
      </c>
      <c r="L124" s="93"/>
      <c r="M124" s="131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spans="1:26" ht="15.5" x14ac:dyDescent="0.35">
      <c r="A125" s="94" t="s">
        <v>73</v>
      </c>
      <c r="B125" s="94">
        <v>2019</v>
      </c>
      <c r="C125" s="94" t="s">
        <v>107</v>
      </c>
      <c r="D125" s="94">
        <v>1926.4</v>
      </c>
      <c r="E125" s="97">
        <v>3.0721166362926793E-3</v>
      </c>
      <c r="F125" s="94">
        <v>124.6</v>
      </c>
      <c r="G125" s="97">
        <v>5.6497175141242018E-3</v>
      </c>
      <c r="H125" s="96">
        <v>150.30000000000001</v>
      </c>
      <c r="I125" s="97">
        <v>0</v>
      </c>
      <c r="J125" s="94">
        <v>146.19999999999999</v>
      </c>
      <c r="K125" s="97">
        <v>4.120879120879082E-3</v>
      </c>
      <c r="L125" s="93"/>
      <c r="M125" s="131" t="s">
        <v>1172</v>
      </c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spans="1:26" ht="15.5" x14ac:dyDescent="0.35">
      <c r="A126" s="94" t="s">
        <v>73</v>
      </c>
      <c r="B126" s="94">
        <v>2019</v>
      </c>
      <c r="C126" s="94" t="s">
        <v>136</v>
      </c>
      <c r="D126" s="94">
        <v>1956.0000000000002</v>
      </c>
      <c r="E126" s="97">
        <v>1.5365448504983458E-2</v>
      </c>
      <c r="F126" s="94">
        <v>124.9</v>
      </c>
      <c r="G126" s="97">
        <v>2.4077046548957575E-3</v>
      </c>
      <c r="H126" s="96">
        <v>151.6</v>
      </c>
      <c r="I126" s="97">
        <v>8.6493679308049416E-3</v>
      </c>
      <c r="J126" s="94">
        <v>146.9</v>
      </c>
      <c r="K126" s="97">
        <v>4.7879616963065466E-3</v>
      </c>
      <c r="L126" s="93"/>
      <c r="M126" s="131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spans="1:26" ht="15.5" x14ac:dyDescent="0.35">
      <c r="A127" s="94" t="s">
        <v>73</v>
      </c>
      <c r="B127" s="94">
        <v>2019</v>
      </c>
      <c r="C127" s="94" t="s">
        <v>146</v>
      </c>
      <c r="D127" s="94">
        <v>1979.0000000000002</v>
      </c>
      <c r="E127" s="97">
        <v>1.1758691206543966E-2</v>
      </c>
      <c r="F127" s="94">
        <v>124.6</v>
      </c>
      <c r="G127" s="97">
        <v>-2.4019215372298747E-3</v>
      </c>
      <c r="H127" s="96">
        <v>152.5</v>
      </c>
      <c r="I127" s="97">
        <v>5.9366754617414625E-3</v>
      </c>
      <c r="J127" s="94">
        <v>147.4</v>
      </c>
      <c r="K127" s="97">
        <v>3.4036759700476512E-3</v>
      </c>
      <c r="L127" s="93"/>
      <c r="M127" s="131" t="s">
        <v>1190</v>
      </c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spans="1:26" ht="15.5" x14ac:dyDescent="0.35">
      <c r="A128" s="94" t="s">
        <v>73</v>
      </c>
      <c r="B128" s="94">
        <v>2019</v>
      </c>
      <c r="C128" s="94" t="s">
        <v>163</v>
      </c>
      <c r="D128" s="94">
        <v>2002.7</v>
      </c>
      <c r="E128" s="97">
        <v>1.1975745325922089E-2</v>
      </c>
      <c r="F128" s="94">
        <v>125.6</v>
      </c>
      <c r="G128" s="97">
        <v>8.0256821829855548E-3</v>
      </c>
      <c r="H128" s="96">
        <v>154</v>
      </c>
      <c r="I128" s="97">
        <v>9.8360655737704927E-3</v>
      </c>
      <c r="J128" s="94">
        <v>147.9</v>
      </c>
      <c r="K128" s="97">
        <v>3.3921302578018993E-3</v>
      </c>
      <c r="L128" s="93"/>
      <c r="M128" s="131" t="s">
        <v>1191</v>
      </c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spans="1:26" ht="15.5" x14ac:dyDescent="0.35">
      <c r="A129" s="94" t="s">
        <v>73</v>
      </c>
      <c r="B129" s="94">
        <v>2019</v>
      </c>
      <c r="C129" s="94" t="s">
        <v>182</v>
      </c>
      <c r="D129" s="94">
        <v>2012.3</v>
      </c>
      <c r="E129" s="97">
        <v>4.7935287362060762E-3</v>
      </c>
      <c r="F129" s="94">
        <v>125.8</v>
      </c>
      <c r="G129" s="97">
        <v>1.5923566878981118E-3</v>
      </c>
      <c r="H129" s="96">
        <v>154.9</v>
      </c>
      <c r="I129" s="97">
        <v>5.8441558441558808E-3</v>
      </c>
      <c r="J129" s="94">
        <v>148.5</v>
      </c>
      <c r="K129" s="97">
        <v>4.0567951318458036E-3</v>
      </c>
      <c r="L129" s="93"/>
      <c r="M129" s="131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spans="1:26" ht="15.5" x14ac:dyDescent="0.35">
      <c r="A130" s="94" t="s">
        <v>73</v>
      </c>
      <c r="B130" s="94">
        <v>2019</v>
      </c>
      <c r="C130" s="94" t="s">
        <v>197</v>
      </c>
      <c r="D130" s="94">
        <v>2024.1999999999998</v>
      </c>
      <c r="E130" s="97">
        <v>5.9136311683147961E-3</v>
      </c>
      <c r="F130" s="94">
        <v>126.1</v>
      </c>
      <c r="G130" s="97">
        <v>2.3847376788553032E-3</v>
      </c>
      <c r="H130" s="96">
        <v>155.19999999999999</v>
      </c>
      <c r="I130" s="97">
        <v>1.9367333763717427E-3</v>
      </c>
      <c r="J130" s="94">
        <v>149</v>
      </c>
      <c r="K130" s="97">
        <v>3.3670033670033669E-3</v>
      </c>
      <c r="L130" s="93"/>
      <c r="M130" s="131" t="s">
        <v>1192</v>
      </c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spans="1:26" ht="15.5" x14ac:dyDescent="0.35">
      <c r="A131" s="94" t="s">
        <v>73</v>
      </c>
      <c r="B131" s="94">
        <v>2019</v>
      </c>
      <c r="C131" s="94" t="s">
        <v>207</v>
      </c>
      <c r="D131" s="94">
        <v>2052.6999999999998</v>
      </c>
      <c r="E131" s="97">
        <v>1.4079636399565262E-2</v>
      </c>
      <c r="F131" s="94">
        <v>126.3</v>
      </c>
      <c r="G131" s="97">
        <v>1.5860428231562478E-3</v>
      </c>
      <c r="H131" s="96">
        <v>155.4</v>
      </c>
      <c r="I131" s="97">
        <v>1.2886597938145429E-3</v>
      </c>
      <c r="J131" s="94">
        <v>149.4</v>
      </c>
      <c r="K131" s="97">
        <v>2.6845637583892998E-3</v>
      </c>
      <c r="L131" s="93"/>
      <c r="M131" s="131" t="s">
        <v>1193</v>
      </c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spans="1:26" ht="15.5" x14ac:dyDescent="0.35">
      <c r="A132" s="94" t="s">
        <v>73</v>
      </c>
      <c r="B132" s="94">
        <v>2019</v>
      </c>
      <c r="C132" s="94" t="s">
        <v>233</v>
      </c>
      <c r="D132" s="94">
        <v>2078.8000000000002</v>
      </c>
      <c r="E132" s="97">
        <v>1.2714960783358683E-2</v>
      </c>
      <c r="F132" s="94">
        <v>126.6</v>
      </c>
      <c r="G132" s="97">
        <v>2.3752969121139918E-3</v>
      </c>
      <c r="H132" s="96">
        <v>155.5</v>
      </c>
      <c r="I132" s="97">
        <v>6.4350064350060694E-4</v>
      </c>
      <c r="J132" s="94">
        <v>149.9</v>
      </c>
      <c r="K132" s="97">
        <v>3.3467202141900937E-3</v>
      </c>
      <c r="L132" s="93"/>
      <c r="M132" s="131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spans="1:26" ht="15.5" x14ac:dyDescent="0.35">
      <c r="A133" s="94" t="s">
        <v>73</v>
      </c>
      <c r="B133" s="94">
        <v>2019</v>
      </c>
      <c r="C133" s="94" t="s">
        <v>242</v>
      </c>
      <c r="D133" s="94">
        <v>2114.6000000000004</v>
      </c>
      <c r="E133" s="97">
        <v>1.7221473927265817E-2</v>
      </c>
      <c r="F133" s="94">
        <v>129.80000000000001</v>
      </c>
      <c r="G133" s="97">
        <v>2.5276461295418776E-2</v>
      </c>
      <c r="H133" s="96">
        <v>155.69999999999999</v>
      </c>
      <c r="I133" s="97">
        <v>1.2861736334404414E-3</v>
      </c>
      <c r="J133" s="94">
        <v>150.4</v>
      </c>
      <c r="K133" s="97">
        <v>3.3355570380253501E-3</v>
      </c>
      <c r="L133" s="93"/>
      <c r="M133" s="131" t="s">
        <v>1194</v>
      </c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spans="1:26" ht="15.5" x14ac:dyDescent="0.35">
      <c r="A134" s="94" t="s">
        <v>73</v>
      </c>
      <c r="B134" s="94">
        <v>2020</v>
      </c>
      <c r="C134" s="94" t="s">
        <v>31</v>
      </c>
      <c r="D134" s="94">
        <v>2109.6</v>
      </c>
      <c r="E134" s="97">
        <v>-2.3645133831459633E-3</v>
      </c>
      <c r="F134" s="94">
        <v>130.9</v>
      </c>
      <c r="G134" s="97">
        <v>8.4745762711863955E-3</v>
      </c>
      <c r="H134" s="96">
        <v>156.1</v>
      </c>
      <c r="I134" s="97">
        <v>2.5690430314708138E-3</v>
      </c>
      <c r="J134" s="94">
        <v>151.19999999999999</v>
      </c>
      <c r="K134" s="97">
        <v>5.319148936170099E-3</v>
      </c>
      <c r="L134" s="93"/>
      <c r="M134" s="131" t="s">
        <v>1196</v>
      </c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spans="1:26" ht="15.5" x14ac:dyDescent="0.35">
      <c r="A135" s="94" t="s">
        <v>73</v>
      </c>
      <c r="B135" s="94">
        <v>2020</v>
      </c>
      <c r="C135" s="94" t="s">
        <v>85</v>
      </c>
      <c r="D135" s="94">
        <v>2081.6999999999998</v>
      </c>
      <c r="E135" s="97">
        <v>-1.322525597269629E-2</v>
      </c>
      <c r="F135" s="94">
        <v>130.30000000000001</v>
      </c>
      <c r="G135" s="97">
        <v>-4.583651642475128E-3</v>
      </c>
      <c r="H135" s="96">
        <v>156.19999999999999</v>
      </c>
      <c r="I135" s="97">
        <v>6.4061499039073878E-4</v>
      </c>
      <c r="J135" s="94">
        <v>151.69999999999999</v>
      </c>
      <c r="K135" s="97">
        <v>3.3068783068783071E-3</v>
      </c>
      <c r="L135" s="93"/>
      <c r="M135" s="131" t="s">
        <v>1195</v>
      </c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spans="1:26" x14ac:dyDescent="0.35">
      <c r="A136" s="98" t="s">
        <v>73</v>
      </c>
      <c r="B136" s="98">
        <v>2020</v>
      </c>
      <c r="C136" s="98" t="s">
        <v>107</v>
      </c>
      <c r="D136" s="98">
        <v>2066.6</v>
      </c>
      <c r="E136" s="99">
        <v>-7.2536868905221262E-3</v>
      </c>
      <c r="F136" s="98">
        <v>129.9</v>
      </c>
      <c r="G136" s="99">
        <v>-3.0698388334612866E-3</v>
      </c>
      <c r="H136" s="100">
        <v>156.1</v>
      </c>
      <c r="I136" s="99">
        <v>-6.4020486555694189E-4</v>
      </c>
      <c r="J136" s="98">
        <v>152.30000000000001</v>
      </c>
      <c r="K136" s="99">
        <v>3.9551746868821541E-3</v>
      </c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spans="1:26" x14ac:dyDescent="0.35">
      <c r="A137" s="98" t="s">
        <v>73</v>
      </c>
      <c r="B137" s="98">
        <v>2020</v>
      </c>
      <c r="C137" s="98" t="s">
        <v>123</v>
      </c>
      <c r="D137" s="98">
        <v>2184.1</v>
      </c>
      <c r="E137" s="99">
        <v>5.6856672795896644E-2</v>
      </c>
      <c r="F137" s="100">
        <v>127.91249999999999</v>
      </c>
      <c r="G137" s="99">
        <v>-1.5300230946882303E-2</v>
      </c>
      <c r="H137" s="100">
        <v>154.75</v>
      </c>
      <c r="I137" s="99">
        <v>-8.6483023702754284E-3</v>
      </c>
      <c r="J137" s="100">
        <v>150.69999999999999</v>
      </c>
      <c r="K137" s="99">
        <v>-1.0505581089954186E-2</v>
      </c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spans="1:26" x14ac:dyDescent="0.35">
      <c r="A138" s="98" t="s">
        <v>73</v>
      </c>
      <c r="B138" s="98">
        <v>2020</v>
      </c>
      <c r="C138" s="98" t="s">
        <v>136</v>
      </c>
      <c r="D138" s="98">
        <v>2181.4</v>
      </c>
      <c r="E138" s="99">
        <v>-1.2362071333729308E-3</v>
      </c>
      <c r="F138" s="100">
        <v>128.16093749999999</v>
      </c>
      <c r="G138" s="99">
        <v>1.9422456757548661E-3</v>
      </c>
      <c r="H138" s="100">
        <v>154.91874999999999</v>
      </c>
      <c r="I138" s="99">
        <v>1.0904684975766633E-3</v>
      </c>
      <c r="J138" s="100">
        <v>148.48750000000001</v>
      </c>
      <c r="K138" s="99">
        <v>-1.4681486396814714E-2</v>
      </c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spans="1:26" x14ac:dyDescent="0.35">
      <c r="A139" s="98" t="s">
        <v>73</v>
      </c>
      <c r="B139" s="98">
        <v>2020</v>
      </c>
      <c r="C139" s="98" t="s">
        <v>146</v>
      </c>
      <c r="D139" s="98">
        <v>2150.3000000000002</v>
      </c>
      <c r="E139" s="99">
        <v>-1.425689923902077E-2</v>
      </c>
      <c r="F139" s="98">
        <v>135</v>
      </c>
      <c r="G139" s="99">
        <v>5.3363081087012272E-2</v>
      </c>
      <c r="H139" s="100">
        <v>156.4</v>
      </c>
      <c r="I139" s="99">
        <v>9.5614636704725361E-3</v>
      </c>
      <c r="J139" s="98">
        <v>154.4</v>
      </c>
      <c r="K139" s="99">
        <v>3.9818166512332644E-2</v>
      </c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spans="1:26" x14ac:dyDescent="0.35">
      <c r="A140" s="98" t="s">
        <v>73</v>
      </c>
      <c r="B140" s="98">
        <v>2020</v>
      </c>
      <c r="C140" s="98" t="s">
        <v>163</v>
      </c>
      <c r="D140" s="98">
        <v>2150.3000000000002</v>
      </c>
      <c r="E140" s="99">
        <v>0</v>
      </c>
      <c r="F140" s="98">
        <v>135</v>
      </c>
      <c r="G140" s="99">
        <v>0</v>
      </c>
      <c r="H140" s="100">
        <v>156.4</v>
      </c>
      <c r="I140" s="99">
        <v>0</v>
      </c>
      <c r="J140" s="98">
        <v>154.4</v>
      </c>
      <c r="K140" s="99">
        <v>0</v>
      </c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spans="1:26" x14ac:dyDescent="0.35">
      <c r="A141" s="98" t="s">
        <v>73</v>
      </c>
      <c r="B141" s="98">
        <v>2020</v>
      </c>
      <c r="C141" s="98" t="s">
        <v>182</v>
      </c>
      <c r="D141" s="98">
        <v>2177.7999999999997</v>
      </c>
      <c r="E141" s="99">
        <v>1.2788913174905615E-2</v>
      </c>
      <c r="F141" s="98">
        <v>138.5</v>
      </c>
      <c r="G141" s="99">
        <v>2.5925925925925925E-2</v>
      </c>
      <c r="H141" s="100">
        <v>158.5</v>
      </c>
      <c r="I141" s="99">
        <v>1.3427109974424516E-2</v>
      </c>
      <c r="J141" s="98">
        <v>155</v>
      </c>
      <c r="K141" s="99">
        <v>3.8860103626942636E-3</v>
      </c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spans="1:26" x14ac:dyDescent="0.35">
      <c r="A142" s="94" t="s">
        <v>73</v>
      </c>
      <c r="B142" s="94">
        <v>2020</v>
      </c>
      <c r="C142" s="94" t="s">
        <v>197</v>
      </c>
      <c r="D142" s="94">
        <v>2191.4</v>
      </c>
      <c r="E142" s="97">
        <v>6.2448342363855104E-3</v>
      </c>
      <c r="F142" s="94">
        <v>139.6</v>
      </c>
      <c r="G142" s="97">
        <v>7.9422382671479729E-3</v>
      </c>
      <c r="H142" s="96">
        <v>157.5</v>
      </c>
      <c r="I142" s="97">
        <v>-6.3091482649842269E-3</v>
      </c>
      <c r="J142" s="94">
        <v>155.6</v>
      </c>
      <c r="K142" s="97">
        <v>3.870967741935447E-3</v>
      </c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spans="1:26" x14ac:dyDescent="0.35">
      <c r="A143" s="94" t="s">
        <v>73</v>
      </c>
      <c r="B143" s="94">
        <v>2020</v>
      </c>
      <c r="C143" s="94" t="s">
        <v>207</v>
      </c>
      <c r="D143" s="94">
        <v>2232.9000000000005</v>
      </c>
      <c r="E143" s="97">
        <v>1.8937665419366822E-2</v>
      </c>
      <c r="F143" s="94">
        <v>140.6</v>
      </c>
      <c r="G143" s="97">
        <v>7.1633237822349575E-3</v>
      </c>
      <c r="H143" s="96">
        <v>158.5</v>
      </c>
      <c r="I143" s="97">
        <v>6.3492063492063492E-3</v>
      </c>
      <c r="J143" s="94">
        <v>156.30000000000001</v>
      </c>
      <c r="K143" s="97">
        <v>4.4987146529564077E-3</v>
      </c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spans="1:26" x14ac:dyDescent="0.35">
      <c r="A144" s="94" t="s">
        <v>73</v>
      </c>
      <c r="B144" s="94">
        <v>2020</v>
      </c>
      <c r="C144" s="94" t="s">
        <v>233</v>
      </c>
      <c r="D144" s="94">
        <v>2280.4</v>
      </c>
      <c r="E144" s="97">
        <v>2.1272784271574873E-2</v>
      </c>
      <c r="F144" s="94">
        <v>140.4</v>
      </c>
      <c r="G144" s="97">
        <v>-1.4224751066855522E-3</v>
      </c>
      <c r="H144" s="96">
        <v>158.6</v>
      </c>
      <c r="I144" s="97">
        <v>6.3091482649838687E-4</v>
      </c>
      <c r="J144" s="94">
        <v>157.19999999999999</v>
      </c>
      <c r="K144" s="97">
        <v>5.7581573896351712E-3</v>
      </c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spans="1:26" x14ac:dyDescent="0.35">
      <c r="A145" s="94" t="s">
        <v>73</v>
      </c>
      <c r="B145" s="94">
        <v>2020</v>
      </c>
      <c r="C145" s="94" t="s">
        <v>242</v>
      </c>
      <c r="D145" s="94">
        <v>2294.5</v>
      </c>
      <c r="E145" s="97">
        <v>6.1831257674091859E-3</v>
      </c>
      <c r="F145" s="94">
        <v>140.69999999999999</v>
      </c>
      <c r="G145" s="97">
        <v>2.1367521367520151E-3</v>
      </c>
      <c r="H145" s="96">
        <v>159.4</v>
      </c>
      <c r="I145" s="97">
        <v>5.0441361916772473E-3</v>
      </c>
      <c r="J145" s="94">
        <v>158.30000000000001</v>
      </c>
      <c r="K145" s="97">
        <v>6.9974554707380584E-3</v>
      </c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spans="1:26" x14ac:dyDescent="0.35">
      <c r="A146" s="94" t="s">
        <v>73</v>
      </c>
      <c r="B146" s="94">
        <v>2021</v>
      </c>
      <c r="C146" s="94" t="s">
        <v>31</v>
      </c>
      <c r="D146" s="94">
        <v>2263</v>
      </c>
      <c r="E146" s="97">
        <v>-1.3728481150577468E-2</v>
      </c>
      <c r="F146" s="94">
        <v>141.9</v>
      </c>
      <c r="G146" s="97">
        <v>8.5287846481877545E-3</v>
      </c>
      <c r="H146" s="96">
        <v>159.19999999999999</v>
      </c>
      <c r="I146" s="97">
        <v>-1.2547051442911986E-3</v>
      </c>
      <c r="J146" s="94">
        <v>159.30000000000001</v>
      </c>
      <c r="K146" s="97">
        <v>6.3171193935565376E-3</v>
      </c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spans="1:26" x14ac:dyDescent="0.35">
      <c r="A147" s="94" t="s">
        <v>73</v>
      </c>
      <c r="B147" s="94">
        <v>2021</v>
      </c>
      <c r="C147" s="94" t="s">
        <v>85</v>
      </c>
      <c r="D147" s="94">
        <v>2227.6000000000004</v>
      </c>
      <c r="E147" s="97">
        <v>-1.5642951833848711E-2</v>
      </c>
      <c r="F147" s="94">
        <v>145.1</v>
      </c>
      <c r="G147" s="97">
        <v>2.2551092318534097E-2</v>
      </c>
      <c r="H147" s="96">
        <v>159.5</v>
      </c>
      <c r="I147" s="97">
        <v>1.8844221105528353E-3</v>
      </c>
      <c r="J147" s="94">
        <v>161.30000000000001</v>
      </c>
      <c r="K147" s="97">
        <v>1.2554927809165096E-2</v>
      </c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spans="1:26" x14ac:dyDescent="0.35">
      <c r="A148" s="94" t="s">
        <v>73</v>
      </c>
      <c r="B148" s="94">
        <v>2021</v>
      </c>
      <c r="C148" s="94" t="s">
        <v>107</v>
      </c>
      <c r="D148" s="94">
        <v>2227.5</v>
      </c>
      <c r="E148" s="97">
        <v>-4.4891362901941002E-5</v>
      </c>
      <c r="F148" s="94">
        <v>146.19999999999999</v>
      </c>
      <c r="G148" s="97">
        <v>7.5809786354238068E-3</v>
      </c>
      <c r="H148" s="96">
        <v>160.19999999999999</v>
      </c>
      <c r="I148" s="97">
        <v>4.3887147335422488E-3</v>
      </c>
      <c r="J148" s="94">
        <v>161.69999999999999</v>
      </c>
      <c r="K148" s="97">
        <v>2.4798512089273233E-3</v>
      </c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spans="1:26" x14ac:dyDescent="0.35">
      <c r="A149" s="98" t="s">
        <v>73</v>
      </c>
      <c r="B149" s="98">
        <v>2021</v>
      </c>
      <c r="C149" s="98" t="s">
        <v>123</v>
      </c>
      <c r="D149" s="98">
        <v>2252.9</v>
      </c>
      <c r="E149" s="99">
        <v>1.1402918069584777E-2</v>
      </c>
      <c r="F149" s="98">
        <v>146.6</v>
      </c>
      <c r="G149" s="99">
        <v>2.7359781121751416E-3</v>
      </c>
      <c r="H149" s="100">
        <v>160.30000000000001</v>
      </c>
      <c r="I149" s="99">
        <v>6.2421972534346278E-4</v>
      </c>
      <c r="J149" s="98">
        <v>162.30000000000001</v>
      </c>
      <c r="K149" s="99">
        <v>3.7105751391467087E-3</v>
      </c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spans="1:26" x14ac:dyDescent="0.35">
      <c r="A150" s="98" t="s">
        <v>73</v>
      </c>
      <c r="B150" s="98">
        <v>2021</v>
      </c>
      <c r="C150" s="98" t="s">
        <v>136</v>
      </c>
      <c r="D150" s="98">
        <v>2297.6000000000004</v>
      </c>
      <c r="E150" s="99">
        <v>1.9841093701451581E-2</v>
      </c>
      <c r="F150" s="98">
        <v>148.9</v>
      </c>
      <c r="G150" s="99">
        <v>1.568894952251031E-2</v>
      </c>
      <c r="H150" s="100">
        <v>161.19999999999999</v>
      </c>
      <c r="I150" s="99">
        <v>5.6144728633810183E-3</v>
      </c>
      <c r="J150" s="98">
        <v>165.8</v>
      </c>
      <c r="K150" s="99">
        <v>2.1565003080714726E-2</v>
      </c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spans="1:26" x14ac:dyDescent="0.35">
      <c r="A151" s="98" t="s">
        <v>73</v>
      </c>
      <c r="B151" s="98">
        <v>2021</v>
      </c>
      <c r="C151" s="98" t="s">
        <v>146</v>
      </c>
      <c r="D151" s="98">
        <v>2324.7000000000003</v>
      </c>
      <c r="E151" s="99">
        <v>1.1794916434540349E-2</v>
      </c>
      <c r="F151" s="98">
        <v>150.69999999999999</v>
      </c>
      <c r="G151" s="99">
        <v>1.2088650100738636E-2</v>
      </c>
      <c r="H151" s="100">
        <v>161.69999999999999</v>
      </c>
      <c r="I151" s="99">
        <v>3.1017369727047149E-3</v>
      </c>
      <c r="J151" s="98">
        <v>166.3</v>
      </c>
      <c r="K151" s="99">
        <v>3.0156815440289505E-3</v>
      </c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spans="1:26" x14ac:dyDescent="0.35">
      <c r="A152" s="98" t="s">
        <v>73</v>
      </c>
      <c r="B152" s="98">
        <v>2021</v>
      </c>
      <c r="C152" s="98" t="s">
        <v>163</v>
      </c>
      <c r="D152" s="98">
        <v>2338.1999999999998</v>
      </c>
      <c r="E152" s="99">
        <v>5.8072009291519526E-3</v>
      </c>
      <c r="F152" s="98">
        <v>153.1</v>
      </c>
      <c r="G152" s="99">
        <v>1.5925680159256841E-2</v>
      </c>
      <c r="H152" s="100">
        <v>163.19999999999999</v>
      </c>
      <c r="I152" s="99">
        <v>9.2764378478664197E-3</v>
      </c>
      <c r="J152" s="98">
        <v>167</v>
      </c>
      <c r="K152" s="99">
        <v>4.2092603728201361E-3</v>
      </c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spans="1:26" x14ac:dyDescent="0.35">
      <c r="A153" s="101" t="s">
        <v>73</v>
      </c>
      <c r="B153" s="101">
        <v>2021</v>
      </c>
      <c r="C153" s="101" t="s">
        <v>182</v>
      </c>
      <c r="D153" s="101">
        <v>2334.1</v>
      </c>
      <c r="E153" s="102">
        <v>-1.7534855872037933E-3</v>
      </c>
      <c r="F153" s="101">
        <v>154</v>
      </c>
      <c r="G153" s="102">
        <v>5.8785107772697954E-3</v>
      </c>
      <c r="H153" s="103">
        <v>163.80000000000001</v>
      </c>
      <c r="I153" s="102">
        <v>3.6764705882354337E-3</v>
      </c>
      <c r="J153" s="101">
        <v>168.4</v>
      </c>
      <c r="K153" s="102">
        <v>8.3832335329341659E-3</v>
      </c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spans="1:26" x14ac:dyDescent="0.35">
      <c r="A154" s="94" t="s">
        <v>73</v>
      </c>
      <c r="B154" s="94">
        <v>2021</v>
      </c>
      <c r="C154" s="94" t="s">
        <v>197</v>
      </c>
      <c r="D154" s="94">
        <v>2334.1</v>
      </c>
      <c r="E154" s="97">
        <v>0</v>
      </c>
      <c r="F154" s="94">
        <v>154</v>
      </c>
      <c r="G154" s="97">
        <v>0</v>
      </c>
      <c r="H154" s="96">
        <v>163.69999999999999</v>
      </c>
      <c r="I154" s="97">
        <v>-6.1050061050074928E-4</v>
      </c>
      <c r="J154" s="94">
        <v>168.4</v>
      </c>
      <c r="K154" s="97">
        <v>0</v>
      </c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spans="1:26" x14ac:dyDescent="0.35">
      <c r="A155" s="94" t="s">
        <v>73</v>
      </c>
      <c r="B155" s="94">
        <v>2021</v>
      </c>
      <c r="C155" s="94" t="s">
        <v>207</v>
      </c>
      <c r="D155" s="94">
        <v>2368.1999999999998</v>
      </c>
      <c r="E155" s="97">
        <v>1.4609485454779105E-2</v>
      </c>
      <c r="F155" s="94">
        <v>155.69999999999999</v>
      </c>
      <c r="G155" s="97">
        <v>1.1038961038960965E-2</v>
      </c>
      <c r="H155" s="96">
        <v>163.9</v>
      </c>
      <c r="I155" s="97">
        <v>1.2217470983507458E-3</v>
      </c>
      <c r="J155" s="94">
        <v>169.1</v>
      </c>
      <c r="K155" s="97">
        <v>4.1567695961994573E-3</v>
      </c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spans="1:26" x14ac:dyDescent="0.35">
      <c r="A156" s="94" t="s">
        <v>73</v>
      </c>
      <c r="B156" s="94">
        <v>2021</v>
      </c>
      <c r="C156" s="94" t="s">
        <v>233</v>
      </c>
      <c r="D156" s="94">
        <v>2387</v>
      </c>
      <c r="E156" s="97">
        <v>7.9385187061904328E-3</v>
      </c>
      <c r="F156" s="94">
        <v>154.80000000000001</v>
      </c>
      <c r="G156" s="97">
        <v>-5.7803468208091026E-3</v>
      </c>
      <c r="H156" s="96">
        <v>164.3</v>
      </c>
      <c r="I156" s="97">
        <v>2.4405125076266362E-3</v>
      </c>
      <c r="J156" s="94">
        <v>169.9</v>
      </c>
      <c r="K156" s="97">
        <v>4.730928444707341E-3</v>
      </c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spans="1:26" x14ac:dyDescent="0.35">
      <c r="A157" s="94" t="s">
        <v>73</v>
      </c>
      <c r="B157" s="94">
        <v>2021</v>
      </c>
      <c r="C157" s="94" t="s">
        <v>242</v>
      </c>
      <c r="D157" s="94">
        <v>2373.3000000000002</v>
      </c>
      <c r="E157" s="97">
        <v>-5.7394218684540506E-3</v>
      </c>
      <c r="F157" s="94">
        <v>155.69999999999999</v>
      </c>
      <c r="G157" s="97">
        <v>5.8139534883719455E-3</v>
      </c>
      <c r="H157" s="96">
        <v>164.4</v>
      </c>
      <c r="I157" s="97">
        <v>6.0864272671938102E-4</v>
      </c>
      <c r="J157" s="94">
        <v>170.6</v>
      </c>
      <c r="K157" s="97">
        <v>4.1200706297821578E-3</v>
      </c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spans="1:26" x14ac:dyDescent="0.35">
      <c r="A158" s="94" t="s">
        <v>73</v>
      </c>
      <c r="B158" s="94">
        <v>2022</v>
      </c>
      <c r="C158" s="94" t="s">
        <v>31</v>
      </c>
      <c r="D158" s="94">
        <v>2356.3999999999996</v>
      </c>
      <c r="E158" s="97">
        <v>-7.1208865293054162E-3</v>
      </c>
      <c r="F158" s="94">
        <v>156.5</v>
      </c>
      <c r="G158" s="97">
        <v>5.1380860629416276E-3</v>
      </c>
      <c r="H158" s="96">
        <v>164.7</v>
      </c>
      <c r="I158" s="97">
        <v>1.8248175182480715E-3</v>
      </c>
      <c r="J158" s="94">
        <v>171.4</v>
      </c>
      <c r="K158" s="97">
        <v>4.6893317702228097E-3</v>
      </c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spans="1:26" x14ac:dyDescent="0.35">
      <c r="A159" s="94" t="s">
        <v>73</v>
      </c>
      <c r="B159" s="94">
        <v>2022</v>
      </c>
      <c r="C159" s="94" t="s">
        <v>85</v>
      </c>
      <c r="D159" s="94">
        <v>2354.0000000000005</v>
      </c>
      <c r="E159" s="97">
        <v>-1.0185028008823551E-3</v>
      </c>
      <c r="F159" s="94">
        <v>156.9</v>
      </c>
      <c r="G159" s="97">
        <v>2.5559105431310269E-3</v>
      </c>
      <c r="H159" s="96">
        <v>165.4</v>
      </c>
      <c r="I159" s="97">
        <v>4.2501517911355015E-3</v>
      </c>
      <c r="J159" s="94">
        <v>172.2</v>
      </c>
      <c r="K159" s="97">
        <v>4.6674445740955833E-3</v>
      </c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spans="1:26" x14ac:dyDescent="0.35">
      <c r="A160" s="94" t="s">
        <v>73</v>
      </c>
      <c r="B160" s="94">
        <v>2022</v>
      </c>
      <c r="C160" s="94" t="s">
        <v>107</v>
      </c>
      <c r="D160" s="94">
        <v>2377.9</v>
      </c>
      <c r="E160" s="97">
        <v>1.0152931180968407E-2</v>
      </c>
      <c r="F160" s="94">
        <v>157.9</v>
      </c>
      <c r="G160" s="97">
        <v>6.3734862970044612E-3</v>
      </c>
      <c r="H160" s="96">
        <v>166</v>
      </c>
      <c r="I160" s="97">
        <v>3.6275695284159267E-3</v>
      </c>
      <c r="J160" s="94">
        <v>173</v>
      </c>
      <c r="K160" s="97">
        <v>4.6457607433217848E-3</v>
      </c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spans="1:26" x14ac:dyDescent="0.35">
      <c r="A161" s="94" t="s">
        <v>73</v>
      </c>
      <c r="B161" s="94">
        <v>2022</v>
      </c>
      <c r="C161" s="94" t="s">
        <v>123</v>
      </c>
      <c r="D161" s="94">
        <v>2408.2000000000003</v>
      </c>
      <c r="E161" s="97">
        <v>1.2742335674334573E-2</v>
      </c>
      <c r="F161" s="94">
        <v>162.6</v>
      </c>
      <c r="G161" s="97">
        <v>2.9765674477517344E-2</v>
      </c>
      <c r="H161" s="96">
        <v>166.9</v>
      </c>
      <c r="I161" s="97">
        <v>5.4216867469879864E-3</v>
      </c>
      <c r="J161" s="94">
        <v>174</v>
      </c>
      <c r="K161" s="97">
        <v>5.7803468208092483E-3</v>
      </c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spans="1:26" x14ac:dyDescent="0.35">
      <c r="A162" s="94" t="s">
        <v>73</v>
      </c>
      <c r="B162" s="94">
        <v>2022</v>
      </c>
      <c r="C162" s="94" t="s">
        <v>136</v>
      </c>
      <c r="D162" s="94">
        <v>2433.0000000000005</v>
      </c>
      <c r="E162" s="97">
        <v>1.0298147994352703E-2</v>
      </c>
      <c r="F162" s="94">
        <v>163</v>
      </c>
      <c r="G162" s="97">
        <v>2.4600246002460377E-3</v>
      </c>
      <c r="H162" s="96">
        <v>167.9</v>
      </c>
      <c r="I162" s="97">
        <v>5.9916117435590173E-3</v>
      </c>
      <c r="J162" s="94">
        <v>174.8</v>
      </c>
      <c r="K162" s="97">
        <v>4.5977011494253523E-3</v>
      </c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spans="1:26" x14ac:dyDescent="0.35">
      <c r="A163" s="94" t="s">
        <v>73</v>
      </c>
      <c r="B163" s="94">
        <v>2022</v>
      </c>
      <c r="C163" s="94" t="s">
        <v>146</v>
      </c>
      <c r="D163" s="94">
        <v>2456.2000000000003</v>
      </c>
      <c r="E163" s="97">
        <v>9.5355528154540958E-3</v>
      </c>
      <c r="F163" s="94">
        <v>161.1</v>
      </c>
      <c r="G163" s="97">
        <v>-1.1656441717791446E-2</v>
      </c>
      <c r="H163" s="96">
        <v>169</v>
      </c>
      <c r="I163" s="97">
        <v>6.5515187611673272E-3</v>
      </c>
      <c r="J163" s="94">
        <v>175.4</v>
      </c>
      <c r="K163" s="97">
        <v>3.4324942791761686E-3</v>
      </c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spans="1:26" x14ac:dyDescent="0.35">
      <c r="A164" s="94" t="s">
        <v>73</v>
      </c>
      <c r="B164" s="94">
        <v>2022</v>
      </c>
      <c r="C164" s="94" t="s">
        <v>163</v>
      </c>
      <c r="D164" s="94">
        <v>2460.9</v>
      </c>
      <c r="E164" s="97">
        <v>1.9135249572509638E-3</v>
      </c>
      <c r="F164" s="94">
        <v>161.6</v>
      </c>
      <c r="G164" s="97">
        <v>3.1036623215394167E-3</v>
      </c>
      <c r="H164" s="96">
        <v>171.4</v>
      </c>
      <c r="I164" s="97">
        <v>1.4201183431952697E-2</v>
      </c>
      <c r="J164" s="94">
        <v>176.1</v>
      </c>
      <c r="K164" s="97">
        <v>3.9908779931584299E-3</v>
      </c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spans="1:26" x14ac:dyDescent="0.35">
      <c r="A165" s="94" t="s">
        <v>73</v>
      </c>
      <c r="B165" s="94">
        <v>2022</v>
      </c>
      <c r="C165" s="94" t="s">
        <v>182</v>
      </c>
      <c r="D165" s="94">
        <v>2464.2000000000003</v>
      </c>
      <c r="E165" s="97">
        <v>1.3409728148239188E-3</v>
      </c>
      <c r="F165" s="94">
        <v>161.9</v>
      </c>
      <c r="G165" s="97">
        <v>1.8564356435644268E-3</v>
      </c>
      <c r="H165" s="96">
        <v>172.3</v>
      </c>
      <c r="I165" s="97">
        <v>5.2508751458576761E-3</v>
      </c>
      <c r="J165" s="94">
        <v>176.8</v>
      </c>
      <c r="K165" s="97">
        <v>3.9750141964793699E-3</v>
      </c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spans="1:26" x14ac:dyDescent="0.35">
      <c r="A166" s="94" t="s">
        <v>73</v>
      </c>
      <c r="B166" s="94">
        <v>2022</v>
      </c>
      <c r="C166" s="94" t="s">
        <v>197</v>
      </c>
      <c r="D166" s="94">
        <v>2476.8000000000002</v>
      </c>
      <c r="E166" s="97">
        <v>5.1132213294375079E-3</v>
      </c>
      <c r="F166" s="94">
        <v>162.30000000000001</v>
      </c>
      <c r="G166" s="97">
        <v>2.470660901791264E-3</v>
      </c>
      <c r="H166" s="96">
        <v>173.1</v>
      </c>
      <c r="I166" s="97">
        <v>4.6430644225187636E-3</v>
      </c>
      <c r="J166" s="94">
        <v>177.8</v>
      </c>
      <c r="K166" s="97">
        <v>5.6561085972850677E-3</v>
      </c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spans="1:26" x14ac:dyDescent="0.35">
      <c r="A167" s="94" t="s">
        <v>73</v>
      </c>
      <c r="B167" s="94">
        <v>2022</v>
      </c>
      <c r="C167" s="94" t="s">
        <v>207</v>
      </c>
      <c r="D167" s="94">
        <v>2493.6000000000004</v>
      </c>
      <c r="E167" s="97">
        <v>6.7829457364341813E-3</v>
      </c>
      <c r="F167" s="94">
        <v>162.9</v>
      </c>
      <c r="G167" s="97">
        <v>3.6968576709796321E-3</v>
      </c>
      <c r="H167" s="96">
        <v>173.4</v>
      </c>
      <c r="I167" s="97">
        <v>1.7331022530329948E-3</v>
      </c>
      <c r="J167" s="94">
        <v>178.7</v>
      </c>
      <c r="K167" s="97">
        <v>5.0618672665915477E-3</v>
      </c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spans="1:26" x14ac:dyDescent="0.35">
      <c r="A168" s="94" t="s">
        <v>73</v>
      </c>
      <c r="B168" s="94">
        <v>2022</v>
      </c>
      <c r="C168" s="94" t="s">
        <v>233</v>
      </c>
      <c r="D168" s="94">
        <v>2493.7000000000003</v>
      </c>
      <c r="E168" s="97">
        <v>4.010266281677456E-5</v>
      </c>
      <c r="F168" s="94">
        <v>163</v>
      </c>
      <c r="G168" s="97">
        <v>6.1387354205030267E-4</v>
      </c>
      <c r="H168" s="96">
        <v>173.7</v>
      </c>
      <c r="I168" s="97">
        <v>1.7301038062282753E-3</v>
      </c>
      <c r="J168" s="94">
        <v>179.8</v>
      </c>
      <c r="K168" s="97">
        <v>6.1555679910465745E-3</v>
      </c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spans="1:26" x14ac:dyDescent="0.35">
      <c r="A169" s="94" t="s">
        <v>73</v>
      </c>
      <c r="B169" s="94">
        <v>2022</v>
      </c>
      <c r="C169" s="94" t="s">
        <v>242</v>
      </c>
      <c r="D169" s="94">
        <v>2480.7000000000003</v>
      </c>
      <c r="E169" s="97">
        <v>-5.2131371055058745E-3</v>
      </c>
      <c r="F169" s="94">
        <v>163.4</v>
      </c>
      <c r="G169" s="97">
        <v>2.4539877300613845E-3</v>
      </c>
      <c r="H169" s="96">
        <v>174.1</v>
      </c>
      <c r="I169" s="97">
        <v>2.3028209556707293E-3</v>
      </c>
      <c r="J169" s="94">
        <v>181.1</v>
      </c>
      <c r="K169" s="97">
        <v>7.2302558398219295E-3</v>
      </c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spans="1:26" x14ac:dyDescent="0.35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spans="1:26" x14ac:dyDescent="0.35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8.5" x14ac:dyDescent="0.45">
      <c r="A172" s="135" t="s">
        <v>1220</v>
      </c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x14ac:dyDescent="0.35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7.5" x14ac:dyDescent="0.35">
      <c r="A174" s="136" t="s">
        <v>1200</v>
      </c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06" t="s">
        <v>1201</v>
      </c>
      <c r="S174" s="106"/>
      <c r="T174" s="106"/>
      <c r="U174" s="106"/>
      <c r="V174" s="106"/>
      <c r="W174" s="106"/>
      <c r="X174" s="106"/>
      <c r="Y174" s="106"/>
      <c r="Z174" s="106"/>
    </row>
    <row r="175" spans="1:26" x14ac:dyDescent="0.3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5.5" x14ac:dyDescent="0.35">
      <c r="A176" s="106"/>
      <c r="B176" s="106"/>
      <c r="C176" s="106"/>
      <c r="D176" s="137" t="s">
        <v>1207</v>
      </c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x14ac:dyDescent="0.35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5" x14ac:dyDescent="0.35">
      <c r="A178" s="107" t="s">
        <v>1202</v>
      </c>
      <c r="B178" s="108" t="s">
        <v>1</v>
      </c>
      <c r="C178" s="109" t="s">
        <v>1204</v>
      </c>
      <c r="D178" s="109" t="s">
        <v>1215</v>
      </c>
      <c r="E178" s="110" t="s">
        <v>1217</v>
      </c>
      <c r="F178" s="109" t="s">
        <v>1215</v>
      </c>
      <c r="G178" s="111" t="s">
        <v>1161</v>
      </c>
      <c r="H178" s="109" t="s">
        <v>1215</v>
      </c>
      <c r="I178" s="111" t="s">
        <v>26</v>
      </c>
      <c r="J178" s="109" t="s">
        <v>1215</v>
      </c>
      <c r="K178" s="111" t="s">
        <v>23</v>
      </c>
      <c r="L178" s="109" t="s">
        <v>1215</v>
      </c>
      <c r="M178" s="120" t="s">
        <v>1160</v>
      </c>
      <c r="N178" s="109" t="s">
        <v>1215</v>
      </c>
      <c r="O178" s="120" t="s">
        <v>1219</v>
      </c>
      <c r="P178" s="109" t="s">
        <v>1215</v>
      </c>
      <c r="Q178" s="120" t="s">
        <v>1157</v>
      </c>
      <c r="R178" s="109" t="s">
        <v>1215</v>
      </c>
      <c r="S178" s="106"/>
      <c r="T178" s="106"/>
      <c r="U178" s="106"/>
      <c r="V178" s="106"/>
      <c r="W178" s="106"/>
      <c r="X178" s="106"/>
      <c r="Y178" s="106"/>
      <c r="Z178" s="106"/>
    </row>
    <row r="179" spans="1:26" ht="15.5" x14ac:dyDescent="0.35">
      <c r="A179" s="107"/>
      <c r="B179" s="113">
        <v>33329</v>
      </c>
      <c r="C179" s="114">
        <v>63.396976500000008</v>
      </c>
      <c r="D179" s="115" t="s">
        <v>892</v>
      </c>
      <c r="E179" s="112">
        <v>2252.9</v>
      </c>
      <c r="F179" s="112"/>
      <c r="G179" s="112">
        <v>146.6</v>
      </c>
      <c r="H179" s="112"/>
      <c r="I179" s="112">
        <v>160.30000000000001</v>
      </c>
      <c r="J179" s="112"/>
      <c r="K179" s="112">
        <v>162.30000000000001</v>
      </c>
      <c r="L179" s="112"/>
      <c r="M179" s="112">
        <v>308.60000000000002</v>
      </c>
      <c r="N179" s="112"/>
      <c r="O179" s="112">
        <v>307.3</v>
      </c>
      <c r="P179" s="112"/>
      <c r="Q179" s="112">
        <v>313.20000000000005</v>
      </c>
      <c r="R179" s="112"/>
      <c r="S179" s="106"/>
      <c r="T179" s="106"/>
      <c r="U179" s="106"/>
      <c r="V179" s="106"/>
      <c r="W179" s="106"/>
      <c r="X179" s="106"/>
      <c r="Y179" s="106"/>
      <c r="Z179" s="106"/>
    </row>
    <row r="180" spans="1:26" ht="15.5" x14ac:dyDescent="0.35">
      <c r="A180" s="107"/>
      <c r="B180" s="113">
        <v>33359</v>
      </c>
      <c r="C180" s="114">
        <v>66.953084852941174</v>
      </c>
      <c r="D180" s="116">
        <f>(C180-C179)/C179</f>
        <v>5.6092712133380143E-2</v>
      </c>
      <c r="E180" s="112">
        <v>2297.6000000000004</v>
      </c>
      <c r="F180" s="117">
        <f>(E180-E179)/E179</f>
        <v>1.9841093701451581E-2</v>
      </c>
      <c r="G180" s="112">
        <v>148.9</v>
      </c>
      <c r="H180" s="117">
        <f>(G180-G179)/G179</f>
        <v>1.568894952251031E-2</v>
      </c>
      <c r="I180" s="112">
        <v>161.19999999999999</v>
      </c>
      <c r="J180" s="117">
        <f>(I180-I179)/I179</f>
        <v>5.6144728633810183E-3</v>
      </c>
      <c r="K180" s="112">
        <v>165.8</v>
      </c>
      <c r="L180" s="117">
        <f>(K180-K179)/K179</f>
        <v>2.1565003080714726E-2</v>
      </c>
      <c r="M180" s="112">
        <v>314.39999999999998</v>
      </c>
      <c r="N180" s="117">
        <f>(M180-M179)/M179</f>
        <v>1.8794556059623959E-2</v>
      </c>
      <c r="O180" s="112">
        <v>313.89999999999998</v>
      </c>
      <c r="P180" s="117">
        <f>(O180-O179)/O179</f>
        <v>2.1477383664171706E-2</v>
      </c>
      <c r="Q180" s="112">
        <v>316.29999999999995</v>
      </c>
      <c r="R180" s="117">
        <f>(Q180-Q179)/Q179</f>
        <v>9.8978288633458124E-3</v>
      </c>
      <c r="S180" s="106"/>
      <c r="T180" s="106"/>
      <c r="U180" s="106"/>
      <c r="V180" s="106"/>
      <c r="W180" s="106"/>
      <c r="X180" s="106"/>
      <c r="Y180" s="106"/>
      <c r="Z180" s="106"/>
    </row>
    <row r="181" spans="1:26" ht="15.5" x14ac:dyDescent="0.35">
      <c r="A181" s="107"/>
      <c r="B181" s="113">
        <v>33390</v>
      </c>
      <c r="C181" s="114">
        <v>71.982647477272721</v>
      </c>
      <c r="D181" s="116">
        <f t="shared" ref="D181:D202" si="1">(C181-C180)/C180</f>
        <v>7.512070034381102E-2</v>
      </c>
      <c r="E181" s="112">
        <v>2324.7000000000003</v>
      </c>
      <c r="F181" s="117">
        <f t="shared" ref="F181:F202" si="2">(E181-E180)/E180</f>
        <v>1.1794916434540349E-2</v>
      </c>
      <c r="G181" s="112">
        <v>150.69999999999999</v>
      </c>
      <c r="H181" s="117">
        <f t="shared" ref="H181:H202" si="3">(G181-G180)/G180</f>
        <v>1.2088650100738636E-2</v>
      </c>
      <c r="I181" s="112">
        <v>161.69999999999999</v>
      </c>
      <c r="J181" s="117">
        <f t="shared" ref="J181:J202" si="4">(I181-I180)/I180</f>
        <v>3.1017369727047149E-3</v>
      </c>
      <c r="K181" s="112">
        <v>166.3</v>
      </c>
      <c r="L181" s="117">
        <f t="shared" ref="L181:L202" si="5">(K181-K180)/K180</f>
        <v>3.0156815440289505E-3</v>
      </c>
      <c r="M181" s="112">
        <v>313.70000000000005</v>
      </c>
      <c r="N181" s="117">
        <f t="shared" ref="N181:N202" si="6">(M181-M180)/M180</f>
        <v>-2.2264631043254829E-3</v>
      </c>
      <c r="O181" s="112">
        <v>314</v>
      </c>
      <c r="P181" s="117">
        <f t="shared" ref="P181:P202" si="7">(O181-O180)/O180</f>
        <v>3.1857279388347484E-4</v>
      </c>
      <c r="Q181" s="112">
        <v>315.3</v>
      </c>
      <c r="R181" s="117">
        <f t="shared" ref="R181:R202" si="8">(Q181-Q180)/Q180</f>
        <v>-3.1615554852985877E-3</v>
      </c>
      <c r="S181" s="106"/>
      <c r="T181" s="106"/>
      <c r="U181" s="106"/>
      <c r="V181" s="106"/>
      <c r="W181" s="106"/>
      <c r="X181" s="106"/>
      <c r="Y181" s="106"/>
      <c r="Z181" s="106"/>
    </row>
    <row r="182" spans="1:26" ht="15.5" x14ac:dyDescent="0.35">
      <c r="A182" s="107"/>
      <c r="B182" s="113">
        <v>33420</v>
      </c>
      <c r="C182" s="114">
        <v>73.539060523809511</v>
      </c>
      <c r="D182" s="116">
        <f t="shared" si="1"/>
        <v>2.1622058941749817E-2</v>
      </c>
      <c r="E182" s="112">
        <v>2338.1999999999998</v>
      </c>
      <c r="F182" s="117">
        <f t="shared" si="2"/>
        <v>5.8072009291519526E-3</v>
      </c>
      <c r="G182" s="112">
        <v>153.1</v>
      </c>
      <c r="H182" s="117">
        <f t="shared" si="3"/>
        <v>1.5925680159256841E-2</v>
      </c>
      <c r="I182" s="112">
        <v>163.19999999999999</v>
      </c>
      <c r="J182" s="117">
        <f t="shared" si="4"/>
        <v>9.2764378478664197E-3</v>
      </c>
      <c r="K182" s="112">
        <v>167</v>
      </c>
      <c r="L182" s="117">
        <f t="shared" si="5"/>
        <v>4.2092603728201361E-3</v>
      </c>
      <c r="M182" s="112">
        <v>315.39999999999998</v>
      </c>
      <c r="N182" s="117">
        <f t="shared" si="6"/>
        <v>5.4191903092124056E-3</v>
      </c>
      <c r="O182" s="112">
        <v>315.89999999999998</v>
      </c>
      <c r="P182" s="117">
        <f t="shared" si="7"/>
        <v>6.0509554140126664E-3</v>
      </c>
      <c r="Q182" s="112">
        <v>317.3</v>
      </c>
      <c r="R182" s="117">
        <f t="shared" si="8"/>
        <v>6.3431652394544879E-3</v>
      </c>
      <c r="S182" s="106"/>
      <c r="T182" s="106"/>
      <c r="U182" s="106"/>
      <c r="V182" s="106"/>
      <c r="W182" s="106"/>
      <c r="X182" s="106"/>
      <c r="Y182" s="106"/>
      <c r="Z182" s="106"/>
    </row>
    <row r="183" spans="1:26" ht="15.5" x14ac:dyDescent="0.35">
      <c r="A183" s="107"/>
      <c r="B183" s="113">
        <v>33451</v>
      </c>
      <c r="C183" s="114">
        <v>69.804724424999989</v>
      </c>
      <c r="D183" s="116">
        <f t="shared" si="1"/>
        <v>-5.078030739324535E-2</v>
      </c>
      <c r="E183" s="112">
        <v>2334.1</v>
      </c>
      <c r="F183" s="117">
        <f t="shared" si="2"/>
        <v>-1.7534855872037933E-3</v>
      </c>
      <c r="G183" s="112">
        <v>154</v>
      </c>
      <c r="H183" s="117">
        <f t="shared" si="3"/>
        <v>5.8785107772697954E-3</v>
      </c>
      <c r="I183" s="112">
        <v>163.80000000000001</v>
      </c>
      <c r="J183" s="117">
        <f t="shared" si="4"/>
        <v>3.6764705882354337E-3</v>
      </c>
      <c r="K183" s="112">
        <v>168.4</v>
      </c>
      <c r="L183" s="117">
        <f t="shared" si="5"/>
        <v>8.3832335329341659E-3</v>
      </c>
      <c r="M183" s="112">
        <v>317.60000000000002</v>
      </c>
      <c r="N183" s="117">
        <f t="shared" si="6"/>
        <v>6.9752694990489715E-3</v>
      </c>
      <c r="O183" s="112">
        <v>319.8</v>
      </c>
      <c r="P183" s="117">
        <f t="shared" si="7"/>
        <v>1.2345679012345788E-2</v>
      </c>
      <c r="Q183" s="112">
        <v>319.60000000000002</v>
      </c>
      <c r="R183" s="117">
        <f t="shared" si="8"/>
        <v>7.248660573589698E-3</v>
      </c>
      <c r="S183" s="106"/>
      <c r="T183" s="106"/>
      <c r="U183" s="106"/>
      <c r="V183" s="106"/>
      <c r="W183" s="106"/>
      <c r="X183" s="106"/>
      <c r="Y183" s="106"/>
      <c r="Z183" s="106"/>
    </row>
    <row r="184" spans="1:26" ht="15.5" x14ac:dyDescent="0.35">
      <c r="A184" s="107"/>
      <c r="B184" s="113">
        <v>33482</v>
      </c>
      <c r="C184" s="114">
        <v>73.130738295454549</v>
      </c>
      <c r="D184" s="116">
        <f t="shared" si="1"/>
        <v>4.7647403493843964E-2</v>
      </c>
      <c r="E184" s="112">
        <v>2334.1</v>
      </c>
      <c r="F184" s="117">
        <f t="shared" si="2"/>
        <v>0</v>
      </c>
      <c r="G184" s="112">
        <v>154</v>
      </c>
      <c r="H184" s="117">
        <f t="shared" si="3"/>
        <v>0</v>
      </c>
      <c r="I184" s="112">
        <v>163.69999999999999</v>
      </c>
      <c r="J184" s="117">
        <f t="shared" si="4"/>
        <v>-6.1050061050074928E-4</v>
      </c>
      <c r="K184" s="112">
        <v>168.4</v>
      </c>
      <c r="L184" s="117">
        <f t="shared" si="5"/>
        <v>0</v>
      </c>
      <c r="M184" s="112">
        <v>317.7</v>
      </c>
      <c r="N184" s="117">
        <f t="shared" si="6"/>
        <v>3.1486146095707144E-4</v>
      </c>
      <c r="O184" s="112">
        <v>319.89999999999998</v>
      </c>
      <c r="P184" s="117">
        <f t="shared" si="7"/>
        <v>3.1269543464654747E-4</v>
      </c>
      <c r="Q184" s="112">
        <v>319.60000000000002</v>
      </c>
      <c r="R184" s="117">
        <f t="shared" si="8"/>
        <v>0</v>
      </c>
      <c r="S184" s="106"/>
      <c r="T184" s="106"/>
      <c r="U184" s="106"/>
      <c r="V184" s="106"/>
      <c r="W184" s="106"/>
      <c r="X184" s="106"/>
      <c r="Y184" s="106"/>
      <c r="Z184" s="106"/>
    </row>
    <row r="185" spans="1:26" ht="15.5" x14ac:dyDescent="0.35">
      <c r="A185" s="107"/>
      <c r="B185" s="113">
        <v>33512</v>
      </c>
      <c r="C185" s="114">
        <v>82.107393785714294</v>
      </c>
      <c r="D185" s="116">
        <f t="shared" si="1"/>
        <v>0.122748049582014</v>
      </c>
      <c r="E185" s="112">
        <v>2368.1999999999998</v>
      </c>
      <c r="F185" s="117">
        <f t="shared" si="2"/>
        <v>1.4609485454779105E-2</v>
      </c>
      <c r="G185" s="112">
        <v>155.69999999999999</v>
      </c>
      <c r="H185" s="117">
        <f t="shared" si="3"/>
        <v>1.1038961038960965E-2</v>
      </c>
      <c r="I185" s="112">
        <v>163.9</v>
      </c>
      <c r="J185" s="117">
        <f t="shared" si="4"/>
        <v>1.2217470983507458E-3</v>
      </c>
      <c r="K185" s="112">
        <v>169.1</v>
      </c>
      <c r="L185" s="117">
        <f t="shared" si="5"/>
        <v>4.1567695961994573E-3</v>
      </c>
      <c r="M185" s="112">
        <v>319.39999999999998</v>
      </c>
      <c r="N185" s="117">
        <f t="shared" si="6"/>
        <v>5.3509600251809529E-3</v>
      </c>
      <c r="O185" s="112">
        <v>322</v>
      </c>
      <c r="P185" s="117">
        <f t="shared" si="7"/>
        <v>6.5645514223195466E-3</v>
      </c>
      <c r="Q185" s="112">
        <v>322</v>
      </c>
      <c r="R185" s="117">
        <f t="shared" si="8"/>
        <v>7.5093867334166996E-3</v>
      </c>
      <c r="S185" s="106"/>
      <c r="T185" s="106"/>
      <c r="U185" s="106"/>
      <c r="V185" s="106"/>
      <c r="W185" s="106"/>
      <c r="X185" s="106"/>
      <c r="Y185" s="106"/>
      <c r="Z185" s="106"/>
    </row>
    <row r="186" spans="1:26" ht="15.5" x14ac:dyDescent="0.35">
      <c r="A186" s="107"/>
      <c r="B186" s="113">
        <v>33543</v>
      </c>
      <c r="C186" s="114">
        <v>80.637301023809528</v>
      </c>
      <c r="D186" s="116">
        <f t="shared" si="1"/>
        <v>-1.7904511325026917E-2</v>
      </c>
      <c r="E186" s="112">
        <v>2387</v>
      </c>
      <c r="F186" s="117">
        <f t="shared" si="2"/>
        <v>7.9385187061904328E-3</v>
      </c>
      <c r="G186" s="112">
        <v>154.80000000000001</v>
      </c>
      <c r="H186" s="117">
        <f t="shared" si="3"/>
        <v>-5.7803468208091026E-3</v>
      </c>
      <c r="I186" s="112">
        <v>164.3</v>
      </c>
      <c r="J186" s="117">
        <f t="shared" si="4"/>
        <v>2.4405125076266362E-3</v>
      </c>
      <c r="K186" s="112">
        <v>169.9</v>
      </c>
      <c r="L186" s="117">
        <f t="shared" si="5"/>
        <v>4.730928444707341E-3</v>
      </c>
      <c r="M186" s="112">
        <v>322</v>
      </c>
      <c r="N186" s="117">
        <f t="shared" si="6"/>
        <v>8.1402629931121573E-3</v>
      </c>
      <c r="O186" s="112">
        <v>324.60000000000002</v>
      </c>
      <c r="P186" s="117">
        <f t="shared" si="7"/>
        <v>8.0745341614907543E-3</v>
      </c>
      <c r="Q186" s="112">
        <v>323.5</v>
      </c>
      <c r="R186" s="117">
        <f t="shared" si="8"/>
        <v>4.658385093167702E-3</v>
      </c>
      <c r="S186" s="106"/>
      <c r="T186" s="106"/>
      <c r="U186" s="106"/>
      <c r="V186" s="106"/>
      <c r="W186" s="106"/>
      <c r="X186" s="106"/>
      <c r="Y186" s="106"/>
      <c r="Z186" s="106"/>
    </row>
    <row r="187" spans="1:26" ht="15.5" x14ac:dyDescent="0.35">
      <c r="A187" s="107"/>
      <c r="B187" s="113">
        <v>33573</v>
      </c>
      <c r="C187" s="114">
        <v>73.298823523809531</v>
      </c>
      <c r="D187" s="116">
        <f t="shared" si="1"/>
        <v>-9.1005991108670498E-2</v>
      </c>
      <c r="E187" s="112">
        <v>2373.3000000000002</v>
      </c>
      <c r="F187" s="117">
        <f t="shared" si="2"/>
        <v>-5.7394218684540506E-3</v>
      </c>
      <c r="G187" s="112">
        <v>155.69999999999999</v>
      </c>
      <c r="H187" s="117">
        <f t="shared" si="3"/>
        <v>5.8139534883719455E-3</v>
      </c>
      <c r="I187" s="112">
        <v>164.4</v>
      </c>
      <c r="J187" s="117">
        <f t="shared" si="4"/>
        <v>6.0864272671938102E-4</v>
      </c>
      <c r="K187" s="112">
        <v>170.6</v>
      </c>
      <c r="L187" s="117">
        <f t="shared" si="5"/>
        <v>4.1200706297821578E-3</v>
      </c>
      <c r="M187" s="112">
        <v>323.2</v>
      </c>
      <c r="N187" s="117">
        <f t="shared" si="6"/>
        <v>3.7267080745341263E-3</v>
      </c>
      <c r="O187" s="112">
        <v>327.2</v>
      </c>
      <c r="P187" s="117">
        <f t="shared" si="7"/>
        <v>8.0098582871225062E-3</v>
      </c>
      <c r="Q187" s="112">
        <v>323.60000000000002</v>
      </c>
      <c r="R187" s="117">
        <f t="shared" si="8"/>
        <v>3.0911901081923565E-4</v>
      </c>
      <c r="S187" s="106"/>
      <c r="T187" s="106"/>
      <c r="U187" s="106"/>
      <c r="V187" s="106"/>
      <c r="W187" s="106"/>
      <c r="X187" s="106"/>
      <c r="Y187" s="106"/>
      <c r="Z187" s="106"/>
    </row>
    <row r="188" spans="1:26" ht="15.5" x14ac:dyDescent="0.35">
      <c r="A188" s="107"/>
      <c r="B188" s="113">
        <v>33604</v>
      </c>
      <c r="C188" s="114">
        <v>84.666318799999985</v>
      </c>
      <c r="D188" s="116">
        <f t="shared" si="1"/>
        <v>0.15508428007030658</v>
      </c>
      <c r="E188" s="112">
        <v>2356.3999999999996</v>
      </c>
      <c r="F188" s="117">
        <f t="shared" si="2"/>
        <v>-7.1208865293054162E-3</v>
      </c>
      <c r="G188" s="112">
        <v>156.5</v>
      </c>
      <c r="H188" s="117">
        <f t="shared" si="3"/>
        <v>5.1380860629416276E-3</v>
      </c>
      <c r="I188" s="112">
        <v>164.7</v>
      </c>
      <c r="J188" s="117">
        <f t="shared" si="4"/>
        <v>1.8248175182480715E-3</v>
      </c>
      <c r="K188" s="112">
        <v>171.4</v>
      </c>
      <c r="L188" s="117">
        <f t="shared" si="5"/>
        <v>4.6893317702228097E-3</v>
      </c>
      <c r="M188" s="112">
        <v>324.2</v>
      </c>
      <c r="N188" s="117">
        <f t="shared" si="6"/>
        <v>3.0940594059405942E-3</v>
      </c>
      <c r="O188" s="112">
        <v>330.6</v>
      </c>
      <c r="P188" s="117">
        <f t="shared" si="7"/>
        <v>1.0391198044009885E-2</v>
      </c>
      <c r="Q188" s="112">
        <v>325.60000000000002</v>
      </c>
      <c r="R188" s="117">
        <f t="shared" si="8"/>
        <v>6.180469715698393E-3</v>
      </c>
      <c r="S188" s="106"/>
      <c r="T188" s="106"/>
      <c r="U188" s="106"/>
      <c r="V188" s="106"/>
      <c r="W188" s="106"/>
      <c r="X188" s="106"/>
      <c r="Y188" s="106"/>
      <c r="Z188" s="106"/>
    </row>
    <row r="189" spans="1:26" ht="15.5" x14ac:dyDescent="0.35">
      <c r="A189" s="107"/>
      <c r="B189" s="113">
        <v>33635</v>
      </c>
      <c r="C189" s="114">
        <v>94.067715194444446</v>
      </c>
      <c r="D189" s="116">
        <f t="shared" si="1"/>
        <v>0.11104057112312367</v>
      </c>
      <c r="E189" s="112">
        <v>2354.0000000000005</v>
      </c>
      <c r="F189" s="117">
        <f t="shared" si="2"/>
        <v>-1.0185028008823551E-3</v>
      </c>
      <c r="G189" s="112">
        <v>156.9</v>
      </c>
      <c r="H189" s="117">
        <f t="shared" si="3"/>
        <v>2.5559105431310269E-3</v>
      </c>
      <c r="I189" s="112">
        <v>165.4</v>
      </c>
      <c r="J189" s="117">
        <f t="shared" si="4"/>
        <v>4.2501517911355015E-3</v>
      </c>
      <c r="K189" s="112">
        <v>172.2</v>
      </c>
      <c r="L189" s="117">
        <f t="shared" si="5"/>
        <v>4.6674445740955833E-3</v>
      </c>
      <c r="M189" s="112">
        <v>326.5</v>
      </c>
      <c r="N189" s="117">
        <f t="shared" si="6"/>
        <v>7.0943861813695603E-3</v>
      </c>
      <c r="O189" s="112">
        <v>333.20000000000005</v>
      </c>
      <c r="P189" s="117">
        <f t="shared" si="7"/>
        <v>7.8644888082275329E-3</v>
      </c>
      <c r="Q189" s="112">
        <v>327.3</v>
      </c>
      <c r="R189" s="117">
        <f t="shared" si="8"/>
        <v>5.2211302211301863E-3</v>
      </c>
      <c r="S189" s="106"/>
      <c r="T189" s="106"/>
      <c r="U189" s="106"/>
      <c r="V189" s="106"/>
      <c r="W189" s="106"/>
      <c r="X189" s="106"/>
      <c r="Y189" s="106"/>
      <c r="Z189" s="106"/>
    </row>
    <row r="190" spans="1:26" ht="15.5" x14ac:dyDescent="0.35">
      <c r="A190" s="107"/>
      <c r="B190" s="113">
        <v>33664</v>
      </c>
      <c r="C190" s="114">
        <v>112.87479254347826</v>
      </c>
      <c r="D190" s="116">
        <f t="shared" si="1"/>
        <v>0.19993126557988886</v>
      </c>
      <c r="E190" s="112">
        <v>2377.9</v>
      </c>
      <c r="F190" s="117">
        <f t="shared" si="2"/>
        <v>1.0152931180968407E-2</v>
      </c>
      <c r="G190" s="112">
        <v>157.9</v>
      </c>
      <c r="H190" s="117">
        <f t="shared" si="3"/>
        <v>6.3734862970044612E-3</v>
      </c>
      <c r="I190" s="112">
        <v>166</v>
      </c>
      <c r="J190" s="117">
        <f t="shared" si="4"/>
        <v>3.6275695284159267E-3</v>
      </c>
      <c r="K190" s="112">
        <v>173</v>
      </c>
      <c r="L190" s="117">
        <f t="shared" si="5"/>
        <v>4.6457607433217848E-3</v>
      </c>
      <c r="M190" s="112">
        <v>330.5</v>
      </c>
      <c r="N190" s="117">
        <f t="shared" si="6"/>
        <v>1.2251148545176111E-2</v>
      </c>
      <c r="O190" s="112">
        <v>336.7</v>
      </c>
      <c r="P190" s="117">
        <f t="shared" si="7"/>
        <v>1.0504201680672096E-2</v>
      </c>
      <c r="Q190" s="112">
        <v>328.1</v>
      </c>
      <c r="R190" s="117">
        <f t="shared" si="8"/>
        <v>2.4442407577146695E-3</v>
      </c>
      <c r="S190" s="106"/>
      <c r="T190" s="106"/>
      <c r="U190" s="106"/>
      <c r="V190" s="106"/>
      <c r="W190" s="106"/>
      <c r="X190" s="106"/>
      <c r="Y190" s="106"/>
      <c r="Z190" s="106"/>
    </row>
    <row r="191" spans="1:26" ht="15.5" x14ac:dyDescent="0.35">
      <c r="A191" s="107" t="s">
        <v>1203</v>
      </c>
      <c r="B191" s="113">
        <v>33329</v>
      </c>
      <c r="C191" s="114">
        <v>102.96599786842103</v>
      </c>
      <c r="D191" s="116">
        <f t="shared" si="1"/>
        <v>-8.7785717712309114E-2</v>
      </c>
      <c r="E191" s="112">
        <v>2408.2000000000003</v>
      </c>
      <c r="F191" s="117">
        <f t="shared" si="2"/>
        <v>1.2742335674334573E-2</v>
      </c>
      <c r="G191" s="112">
        <v>162.6</v>
      </c>
      <c r="H191" s="117">
        <f t="shared" si="3"/>
        <v>2.9765674477517344E-2</v>
      </c>
      <c r="I191" s="112">
        <v>166.9</v>
      </c>
      <c r="J191" s="117">
        <f t="shared" si="4"/>
        <v>5.4216867469879864E-3</v>
      </c>
      <c r="K191" s="112">
        <v>174</v>
      </c>
      <c r="L191" s="117">
        <f t="shared" si="5"/>
        <v>5.7803468208092483E-3</v>
      </c>
      <c r="M191" s="112">
        <v>333.20000000000005</v>
      </c>
      <c r="N191" s="117">
        <f t="shared" si="6"/>
        <v>8.1694402420576257E-3</v>
      </c>
      <c r="O191" s="112">
        <v>340.4</v>
      </c>
      <c r="P191" s="117">
        <f t="shared" si="7"/>
        <v>1.0989010989010955E-2</v>
      </c>
      <c r="Q191" s="112">
        <v>331</v>
      </c>
      <c r="R191" s="117">
        <f t="shared" si="8"/>
        <v>8.8387686680889265E-3</v>
      </c>
      <c r="S191" s="106"/>
      <c r="T191" s="106"/>
      <c r="U191" s="106"/>
      <c r="V191" s="106"/>
      <c r="W191" s="106"/>
      <c r="X191" s="106"/>
      <c r="Y191" s="106"/>
      <c r="Z191" s="106"/>
    </row>
    <row r="192" spans="1:26" ht="15.5" x14ac:dyDescent="0.35">
      <c r="A192" s="107"/>
      <c r="B192" s="113">
        <v>33359</v>
      </c>
      <c r="C192" s="114">
        <v>109.50503773684208</v>
      </c>
      <c r="D192" s="116">
        <f t="shared" si="1"/>
        <v>6.3506788685496113E-2</v>
      </c>
      <c r="E192" s="112">
        <v>2433.0000000000005</v>
      </c>
      <c r="F192" s="117">
        <f t="shared" si="2"/>
        <v>1.0298147994352703E-2</v>
      </c>
      <c r="G192" s="112">
        <v>163</v>
      </c>
      <c r="H192" s="117">
        <f t="shared" si="3"/>
        <v>2.4600246002460377E-3</v>
      </c>
      <c r="I192" s="112">
        <v>167.9</v>
      </c>
      <c r="J192" s="117">
        <f t="shared" si="4"/>
        <v>5.9916117435590173E-3</v>
      </c>
      <c r="K192" s="112">
        <v>174.8</v>
      </c>
      <c r="L192" s="117">
        <f t="shared" si="5"/>
        <v>4.5977011494253523E-3</v>
      </c>
      <c r="M192" s="112">
        <v>333.5</v>
      </c>
      <c r="N192" s="117">
        <f t="shared" si="6"/>
        <v>9.0036014405748643E-4</v>
      </c>
      <c r="O192" s="112">
        <v>344</v>
      </c>
      <c r="P192" s="117">
        <f t="shared" si="7"/>
        <v>1.0575793184488903E-2</v>
      </c>
      <c r="Q192" s="112">
        <v>332.7</v>
      </c>
      <c r="R192" s="117">
        <f t="shared" si="8"/>
        <v>5.1359516616313857E-3</v>
      </c>
      <c r="S192" s="106"/>
      <c r="T192" s="106"/>
      <c r="U192" s="106"/>
      <c r="V192" s="106"/>
      <c r="W192" s="106"/>
      <c r="X192" s="106"/>
      <c r="Y192" s="106"/>
      <c r="Z192" s="106"/>
    </row>
    <row r="193" spans="1:26" ht="15.5" x14ac:dyDescent="0.35">
      <c r="A193" s="107"/>
      <c r="B193" s="113">
        <v>33390</v>
      </c>
      <c r="C193" s="114">
        <v>116.01138504999999</v>
      </c>
      <c r="D193" s="116">
        <f t="shared" si="1"/>
        <v>5.9415963389681525E-2</v>
      </c>
      <c r="E193" s="112">
        <v>2456.2000000000003</v>
      </c>
      <c r="F193" s="117">
        <f t="shared" si="2"/>
        <v>9.5355528154540958E-3</v>
      </c>
      <c r="G193" s="112">
        <v>161.1</v>
      </c>
      <c r="H193" s="117">
        <f t="shared" si="3"/>
        <v>-1.1656441717791446E-2</v>
      </c>
      <c r="I193" s="112">
        <v>169</v>
      </c>
      <c r="J193" s="117">
        <f t="shared" si="4"/>
        <v>6.5515187611673272E-3</v>
      </c>
      <c r="K193" s="112">
        <v>175.4</v>
      </c>
      <c r="L193" s="117">
        <f t="shared" si="5"/>
        <v>3.4324942791761686E-3</v>
      </c>
      <c r="M193" s="112">
        <v>335.20000000000005</v>
      </c>
      <c r="N193" s="117">
        <f t="shared" si="6"/>
        <v>5.0974512743629553E-3</v>
      </c>
      <c r="O193" s="112">
        <v>347</v>
      </c>
      <c r="P193" s="117">
        <f t="shared" si="7"/>
        <v>8.7209302325581394E-3</v>
      </c>
      <c r="Q193" s="112">
        <v>333.20000000000005</v>
      </c>
      <c r="R193" s="117">
        <f t="shared" si="8"/>
        <v>1.5028554253082563E-3</v>
      </c>
      <c r="S193" s="106"/>
      <c r="T193" s="106"/>
      <c r="U193" s="106"/>
      <c r="V193" s="106"/>
      <c r="W193" s="106"/>
      <c r="X193" s="106"/>
      <c r="Y193" s="106"/>
      <c r="Z193" s="106"/>
    </row>
    <row r="194" spans="1:26" ht="15.5" x14ac:dyDescent="0.35">
      <c r="A194" s="107"/>
      <c r="B194" s="113">
        <v>33420</v>
      </c>
      <c r="C194" s="114">
        <v>105.49124737500001</v>
      </c>
      <c r="D194" s="116">
        <f t="shared" si="1"/>
        <v>-9.0681941866876919E-2</v>
      </c>
      <c r="E194" s="112">
        <v>2460.9</v>
      </c>
      <c r="F194" s="117">
        <f t="shared" si="2"/>
        <v>1.9135249572509638E-3</v>
      </c>
      <c r="G194" s="112">
        <v>161.6</v>
      </c>
      <c r="H194" s="117">
        <f t="shared" si="3"/>
        <v>3.1036623215394167E-3</v>
      </c>
      <c r="I194" s="112">
        <v>171.4</v>
      </c>
      <c r="J194" s="117">
        <f t="shared" si="4"/>
        <v>1.4201183431952697E-2</v>
      </c>
      <c r="K194" s="112">
        <v>176.1</v>
      </c>
      <c r="L194" s="117">
        <f t="shared" si="5"/>
        <v>3.9908779931584299E-3</v>
      </c>
      <c r="M194" s="112">
        <v>336</v>
      </c>
      <c r="N194" s="117">
        <f t="shared" si="6"/>
        <v>2.386634844868599E-3</v>
      </c>
      <c r="O194" s="112">
        <v>349.6</v>
      </c>
      <c r="P194" s="117">
        <f t="shared" si="7"/>
        <v>7.4927953890490569E-3</v>
      </c>
      <c r="Q194" s="112">
        <v>335.20000000000005</v>
      </c>
      <c r="R194" s="117">
        <f t="shared" si="8"/>
        <v>6.002400960384153E-3</v>
      </c>
      <c r="S194" s="106"/>
      <c r="T194" s="106"/>
      <c r="U194" s="106"/>
      <c r="V194" s="106"/>
      <c r="W194" s="106"/>
      <c r="X194" s="106"/>
      <c r="Y194" s="106"/>
      <c r="Z194" s="106"/>
    </row>
    <row r="195" spans="1:26" ht="15.5" x14ac:dyDescent="0.35">
      <c r="A195" s="107"/>
      <c r="B195" s="113">
        <v>33451</v>
      </c>
      <c r="C195" s="114">
        <v>97.404465428571427</v>
      </c>
      <c r="D195" s="116">
        <f t="shared" si="1"/>
        <v>-7.6658321402549315E-2</v>
      </c>
      <c r="E195" s="112">
        <v>2464.2000000000003</v>
      </c>
      <c r="F195" s="117">
        <f t="shared" si="2"/>
        <v>1.3409728148239188E-3</v>
      </c>
      <c r="G195" s="112">
        <v>161.9</v>
      </c>
      <c r="H195" s="117">
        <f t="shared" si="3"/>
        <v>1.8564356435644268E-3</v>
      </c>
      <c r="I195" s="112">
        <v>172.3</v>
      </c>
      <c r="J195" s="117">
        <f t="shared" si="4"/>
        <v>5.2508751458576761E-3</v>
      </c>
      <c r="K195" s="112">
        <v>176.8</v>
      </c>
      <c r="L195" s="117">
        <f t="shared" si="5"/>
        <v>3.9750141964793699E-3</v>
      </c>
      <c r="M195" s="112">
        <v>338.1</v>
      </c>
      <c r="N195" s="117">
        <f t="shared" si="6"/>
        <v>6.250000000000068E-3</v>
      </c>
      <c r="O195" s="112">
        <v>352.2</v>
      </c>
      <c r="P195" s="117">
        <f t="shared" si="7"/>
        <v>7.4370709382150053E-3</v>
      </c>
      <c r="Q195" s="112">
        <v>337.5</v>
      </c>
      <c r="R195" s="117">
        <f t="shared" si="8"/>
        <v>6.8615751789974765E-3</v>
      </c>
      <c r="S195" s="106"/>
      <c r="T195" s="106"/>
      <c r="U195" s="106"/>
      <c r="V195" s="106"/>
      <c r="W195" s="106"/>
      <c r="X195" s="106"/>
      <c r="Y195" s="106"/>
      <c r="Z195" s="106"/>
    </row>
    <row r="196" spans="1:26" ht="15.5" x14ac:dyDescent="0.35">
      <c r="A196" s="107"/>
      <c r="B196" s="113">
        <v>33482</v>
      </c>
      <c r="C196" s="114">
        <v>90.706344809523813</v>
      </c>
      <c r="D196" s="116">
        <f t="shared" si="1"/>
        <v>-6.8766052866020555E-2</v>
      </c>
      <c r="E196" s="112">
        <v>2476.8000000000002</v>
      </c>
      <c r="F196" s="117">
        <f t="shared" si="2"/>
        <v>5.1132213294375079E-3</v>
      </c>
      <c r="G196" s="112">
        <v>162.30000000000001</v>
      </c>
      <c r="H196" s="117">
        <f t="shared" si="3"/>
        <v>2.470660901791264E-3</v>
      </c>
      <c r="I196" s="112">
        <v>173.1</v>
      </c>
      <c r="J196" s="117">
        <f t="shared" si="4"/>
        <v>4.6430644225187636E-3</v>
      </c>
      <c r="K196" s="112">
        <v>177.8</v>
      </c>
      <c r="L196" s="117">
        <f t="shared" si="5"/>
        <v>5.6561085972850677E-3</v>
      </c>
      <c r="M196" s="112">
        <v>338.5</v>
      </c>
      <c r="N196" s="117">
        <f t="shared" si="6"/>
        <v>1.183081928423476E-3</v>
      </c>
      <c r="O196" s="112">
        <v>355.20000000000005</v>
      </c>
      <c r="P196" s="117">
        <f t="shared" si="7"/>
        <v>8.5178875638843177E-3</v>
      </c>
      <c r="Q196" s="112">
        <v>339</v>
      </c>
      <c r="R196" s="117">
        <f t="shared" si="8"/>
        <v>4.4444444444444444E-3</v>
      </c>
      <c r="S196" s="106"/>
      <c r="T196" s="106"/>
      <c r="U196" s="106"/>
      <c r="V196" s="106"/>
      <c r="W196" s="106"/>
      <c r="X196" s="106"/>
      <c r="Y196" s="106"/>
      <c r="Z196" s="106"/>
    </row>
    <row r="197" spans="1:26" ht="15.5" x14ac:dyDescent="0.35">
      <c r="A197" s="107"/>
      <c r="B197" s="113">
        <v>33512</v>
      </c>
      <c r="C197" s="114">
        <v>91.698948700000003</v>
      </c>
      <c r="D197" s="116">
        <f t="shared" si="1"/>
        <v>1.0943048058662044E-2</v>
      </c>
      <c r="E197" s="112">
        <v>2493.6000000000004</v>
      </c>
      <c r="F197" s="117">
        <f t="shared" si="2"/>
        <v>6.7829457364341813E-3</v>
      </c>
      <c r="G197" s="112">
        <v>162.9</v>
      </c>
      <c r="H197" s="117">
        <f t="shared" si="3"/>
        <v>3.6968576709796321E-3</v>
      </c>
      <c r="I197" s="112">
        <v>173.4</v>
      </c>
      <c r="J197" s="117">
        <f t="shared" si="4"/>
        <v>1.7331022530329948E-3</v>
      </c>
      <c r="K197" s="112">
        <v>178.7</v>
      </c>
      <c r="L197" s="117">
        <f t="shared" si="5"/>
        <v>5.0618672665915477E-3</v>
      </c>
      <c r="M197" s="112">
        <v>340.29999999999995</v>
      </c>
      <c r="N197" s="117">
        <f t="shared" si="6"/>
        <v>5.317577548005774E-3</v>
      </c>
      <c r="O197" s="112">
        <v>357.20000000000005</v>
      </c>
      <c r="P197" s="117">
        <f t="shared" si="7"/>
        <v>5.6306306306306295E-3</v>
      </c>
      <c r="Q197" s="112">
        <v>341.6</v>
      </c>
      <c r="R197" s="117">
        <f t="shared" si="8"/>
        <v>7.669616519174108E-3</v>
      </c>
      <c r="S197" s="106"/>
      <c r="T197" s="106"/>
      <c r="U197" s="106"/>
      <c r="V197" s="106"/>
      <c r="W197" s="106"/>
      <c r="X197" s="106"/>
      <c r="Y197" s="106"/>
      <c r="Z197" s="106"/>
    </row>
    <row r="198" spans="1:26" ht="15.5" x14ac:dyDescent="0.35">
      <c r="A198" s="107"/>
      <c r="B198" s="113">
        <v>33543</v>
      </c>
      <c r="C198" s="114">
        <v>87.552266068181822</v>
      </c>
      <c r="D198" s="116">
        <f t="shared" si="1"/>
        <v>-4.5220612565410795E-2</v>
      </c>
      <c r="E198" s="112">
        <v>2493.7000000000003</v>
      </c>
      <c r="F198" s="117">
        <f t="shared" si="2"/>
        <v>4.010266281677456E-5</v>
      </c>
      <c r="G198" s="112">
        <v>163</v>
      </c>
      <c r="H198" s="117">
        <f t="shared" si="3"/>
        <v>6.1387354205030267E-4</v>
      </c>
      <c r="I198" s="112">
        <v>173.7</v>
      </c>
      <c r="J198" s="117">
        <f t="shared" si="4"/>
        <v>1.7301038062282753E-3</v>
      </c>
      <c r="K198" s="112">
        <v>179.8</v>
      </c>
      <c r="L198" s="117">
        <f t="shared" si="5"/>
        <v>6.1555679910465745E-3</v>
      </c>
      <c r="M198" s="112">
        <v>342.1</v>
      </c>
      <c r="N198" s="117">
        <f t="shared" si="6"/>
        <v>5.2894504848664953E-3</v>
      </c>
      <c r="O198" s="112">
        <v>359.29999999999995</v>
      </c>
      <c r="P198" s="117">
        <f t="shared" si="7"/>
        <v>5.8790593505036641E-3</v>
      </c>
      <c r="Q198" s="112">
        <v>343.20000000000005</v>
      </c>
      <c r="R198" s="117">
        <f t="shared" si="8"/>
        <v>4.6838407494145858E-3</v>
      </c>
      <c r="S198" s="106"/>
      <c r="T198" s="106"/>
      <c r="U198" s="106"/>
      <c r="V198" s="106"/>
      <c r="W198" s="106"/>
      <c r="X198" s="106"/>
      <c r="Y198" s="106"/>
      <c r="Z198" s="106"/>
    </row>
    <row r="199" spans="1:26" ht="15.5" x14ac:dyDescent="0.35">
      <c r="A199" s="107"/>
      <c r="B199" s="113">
        <v>33573</v>
      </c>
      <c r="C199" s="114">
        <v>78.100942275000008</v>
      </c>
      <c r="D199" s="116">
        <f t="shared" si="1"/>
        <v>-0.1079506472833215</v>
      </c>
      <c r="E199" s="112">
        <v>2480.7000000000003</v>
      </c>
      <c r="F199" s="117">
        <f t="shared" si="2"/>
        <v>-5.2131371055058745E-3</v>
      </c>
      <c r="G199" s="112">
        <v>163.4</v>
      </c>
      <c r="H199" s="117">
        <f t="shared" si="3"/>
        <v>2.4539877300613845E-3</v>
      </c>
      <c r="I199" s="112">
        <v>174.1</v>
      </c>
      <c r="J199" s="117">
        <f t="shared" si="4"/>
        <v>2.3028209556707293E-3</v>
      </c>
      <c r="K199" s="112">
        <v>181.1</v>
      </c>
      <c r="L199" s="117">
        <f t="shared" si="5"/>
        <v>7.2302558398219295E-3</v>
      </c>
      <c r="M199" s="112">
        <v>344.70000000000005</v>
      </c>
      <c r="N199" s="117">
        <f t="shared" si="6"/>
        <v>7.6001169248758335E-3</v>
      </c>
      <c r="O199" s="112">
        <v>361</v>
      </c>
      <c r="P199" s="117">
        <f t="shared" si="7"/>
        <v>4.7314222098526178E-3</v>
      </c>
      <c r="Q199" s="112">
        <v>342.79999999999995</v>
      </c>
      <c r="R199" s="117">
        <f t="shared" si="8"/>
        <v>-1.1655011655014303E-3</v>
      </c>
      <c r="S199" s="106"/>
      <c r="T199" s="106"/>
      <c r="U199" s="106"/>
      <c r="V199" s="106"/>
      <c r="W199" s="106"/>
      <c r="X199" s="106"/>
      <c r="Y199" s="106"/>
      <c r="Z199" s="106"/>
    </row>
    <row r="200" spans="1:26" ht="15.5" x14ac:dyDescent="0.35">
      <c r="A200" s="107"/>
      <c r="B200" s="113">
        <v>33604</v>
      </c>
      <c r="C200" s="114">
        <v>80.922269684210534</v>
      </c>
      <c r="D200" s="116">
        <f t="shared" si="1"/>
        <v>3.6124114857364886E-2</v>
      </c>
      <c r="E200" s="112">
        <v>2490.8999999999996</v>
      </c>
      <c r="F200" s="117">
        <f t="shared" si="2"/>
        <v>4.1117426532830906E-3</v>
      </c>
      <c r="G200" s="112">
        <v>163.6</v>
      </c>
      <c r="H200" s="117">
        <f t="shared" si="3"/>
        <v>1.2239902080782657E-3</v>
      </c>
      <c r="I200" s="112">
        <v>174.3</v>
      </c>
      <c r="J200" s="117">
        <f t="shared" si="4"/>
        <v>1.1487650775417408E-3</v>
      </c>
      <c r="K200" s="112">
        <v>182.3</v>
      </c>
      <c r="L200" s="117">
        <f t="shared" si="5"/>
        <v>6.6261733848703317E-3</v>
      </c>
      <c r="M200" s="112">
        <v>348.1</v>
      </c>
      <c r="N200" s="117">
        <f t="shared" si="6"/>
        <v>9.8636495503335569E-3</v>
      </c>
      <c r="O200" s="112">
        <v>362.5</v>
      </c>
      <c r="P200" s="117">
        <f t="shared" si="7"/>
        <v>4.1551246537396124E-3</v>
      </c>
      <c r="Q200" s="112">
        <v>345</v>
      </c>
      <c r="R200" s="117">
        <f t="shared" si="8"/>
        <v>6.4177362893816968E-3</v>
      </c>
      <c r="S200" s="106"/>
      <c r="T200" s="106"/>
      <c r="U200" s="106"/>
      <c r="V200" s="106"/>
      <c r="W200" s="106"/>
      <c r="X200" s="106"/>
      <c r="Y200" s="106"/>
      <c r="Z200" s="106"/>
    </row>
    <row r="201" spans="1:26" ht="15.5" x14ac:dyDescent="0.35">
      <c r="A201" s="107"/>
      <c r="B201" s="113">
        <v>33635</v>
      </c>
      <c r="C201" s="114">
        <v>82.278706675000009</v>
      </c>
      <c r="D201" s="116">
        <f t="shared" si="1"/>
        <v>1.676222127830582E-2</v>
      </c>
      <c r="E201" s="112">
        <v>2478.6</v>
      </c>
      <c r="F201" s="117">
        <f t="shared" si="2"/>
        <v>-4.9379742261831984E-3</v>
      </c>
      <c r="G201" s="112">
        <v>164.2</v>
      </c>
      <c r="H201" s="117">
        <f t="shared" si="3"/>
        <v>3.6674816625916523E-3</v>
      </c>
      <c r="I201" s="112">
        <v>175</v>
      </c>
      <c r="J201" s="117">
        <f t="shared" si="4"/>
        <v>4.016064257028047E-3</v>
      </c>
      <c r="K201" s="112">
        <v>184.4</v>
      </c>
      <c r="L201" s="117">
        <f t="shared" si="5"/>
        <v>1.1519473395501889E-2</v>
      </c>
      <c r="M201" s="112">
        <v>351.3</v>
      </c>
      <c r="N201" s="117">
        <f t="shared" si="6"/>
        <v>9.192760700947971E-3</v>
      </c>
      <c r="O201" s="112">
        <v>364.9</v>
      </c>
      <c r="P201" s="117">
        <f t="shared" si="7"/>
        <v>6.6206896551723512E-3</v>
      </c>
      <c r="Q201" s="112">
        <v>347.7</v>
      </c>
      <c r="R201" s="117">
        <f t="shared" si="8"/>
        <v>7.8260869565217068E-3</v>
      </c>
      <c r="S201" s="106"/>
      <c r="T201" s="106"/>
      <c r="U201" s="106"/>
      <c r="V201" s="106"/>
      <c r="W201" s="106"/>
      <c r="X201" s="106"/>
      <c r="Y201" s="106"/>
      <c r="Z201" s="106"/>
    </row>
    <row r="202" spans="1:26" ht="15.5" x14ac:dyDescent="0.35">
      <c r="A202" s="107"/>
      <c r="B202" s="113">
        <v>33664</v>
      </c>
      <c r="C202" s="114">
        <v>78.539480282608693</v>
      </c>
      <c r="D202" s="116">
        <f t="shared" si="1"/>
        <v>-4.5445857664744529E-2</v>
      </c>
      <c r="E202" s="112">
        <v>2478.6999999999998</v>
      </c>
      <c r="F202" s="117">
        <f t="shared" si="2"/>
        <v>4.034535624945899E-5</v>
      </c>
      <c r="G202" s="112">
        <v>164.2</v>
      </c>
      <c r="H202" s="117">
        <f t="shared" si="3"/>
        <v>0</v>
      </c>
      <c r="I202" s="112">
        <v>175</v>
      </c>
      <c r="J202" s="117">
        <f t="shared" si="4"/>
        <v>0</v>
      </c>
      <c r="K202" s="112">
        <v>184.4</v>
      </c>
      <c r="L202" s="117">
        <f t="shared" si="5"/>
        <v>0</v>
      </c>
      <c r="M202" s="112">
        <v>351.3</v>
      </c>
      <c r="N202" s="117">
        <f t="shared" si="6"/>
        <v>0</v>
      </c>
      <c r="O202" s="112">
        <v>364.79999999999995</v>
      </c>
      <c r="P202" s="117">
        <f t="shared" si="7"/>
        <v>-2.7404768429713E-4</v>
      </c>
      <c r="Q202" s="112">
        <v>347.7</v>
      </c>
      <c r="R202" s="117">
        <f t="shared" si="8"/>
        <v>0</v>
      </c>
      <c r="S202" s="106"/>
      <c r="T202" s="106"/>
      <c r="U202" s="106"/>
      <c r="V202" s="106"/>
      <c r="W202" s="106"/>
      <c r="X202" s="106"/>
      <c r="Y202" s="106"/>
      <c r="Z202" s="106"/>
    </row>
    <row r="203" spans="1:26" x14ac:dyDescent="0.35">
      <c r="A203" s="106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06"/>
      <c r="T203" s="106"/>
      <c r="U203" s="106"/>
      <c r="V203" s="106"/>
      <c r="W203" s="106"/>
      <c r="X203" s="106"/>
      <c r="Y203" s="106"/>
      <c r="Z203" s="106"/>
    </row>
    <row r="204" spans="1:26" x14ac:dyDescent="0.35">
      <c r="A204" s="106"/>
      <c r="B204" s="118" t="s">
        <v>1205</v>
      </c>
      <c r="C204" s="118"/>
      <c r="D204" s="118"/>
      <c r="E204" s="119">
        <f>CORREL($C$179:$C$202,E179:E202)</f>
        <v>0.49511674542552048</v>
      </c>
      <c r="F204" s="119"/>
      <c r="G204" s="119">
        <f>CORREL($C$179:$C$202,G179:G202)</f>
        <v>0.59690542405530278</v>
      </c>
      <c r="H204" s="119"/>
      <c r="I204" s="119">
        <f>CORREL($C$179:$C$202,I179:I202)</f>
        <v>0.36292640574537133</v>
      </c>
      <c r="J204" s="119"/>
      <c r="K204" s="119">
        <f>CORREL($C$179:$C$202,K179:K202)</f>
        <v>0.38137546525119653</v>
      </c>
      <c r="L204" s="119"/>
      <c r="M204" s="119">
        <f>CORREL($C$179:$C$202,M179:M202)</f>
        <v>0.43486838392866489</v>
      </c>
      <c r="N204" s="119"/>
      <c r="O204" s="119">
        <f>CORREL($C$179:$C$202,O179:O202)</f>
        <v>0.46149990956614106</v>
      </c>
      <c r="P204" s="119"/>
      <c r="Q204" s="119">
        <f>CORREL($C$179:$C$202,Q179:Q202)</f>
        <v>0.40128562416580793</v>
      </c>
      <c r="R204" s="118"/>
      <c r="S204" s="106"/>
      <c r="T204" s="106"/>
      <c r="U204" s="106"/>
      <c r="V204" s="106"/>
      <c r="W204" s="106"/>
      <c r="X204" s="106"/>
      <c r="Y204" s="106"/>
      <c r="Z204" s="106"/>
    </row>
    <row r="205" spans="1:26" x14ac:dyDescent="0.3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x14ac:dyDescent="0.35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5.5" x14ac:dyDescent="0.35">
      <c r="A207" s="106"/>
      <c r="B207" s="106"/>
      <c r="C207" s="134" t="s">
        <v>1206</v>
      </c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5.5" x14ac:dyDescent="0.35">
      <c r="A208" s="106"/>
      <c r="B208" s="106"/>
      <c r="C208" s="134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5.5" x14ac:dyDescent="0.35">
      <c r="A209" s="106"/>
      <c r="B209" s="106"/>
      <c r="C209" s="134" t="s">
        <v>1221</v>
      </c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x14ac:dyDescent="0.35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x14ac:dyDescent="0.35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x14ac:dyDescent="0.35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x14ac:dyDescent="0.35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x14ac:dyDescent="0.3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x14ac:dyDescent="0.3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</sheetData>
  <mergeCells count="5">
    <mergeCell ref="A174:Q174"/>
    <mergeCell ref="A178:A190"/>
    <mergeCell ref="A191:A202"/>
    <mergeCell ref="A1:U3"/>
    <mergeCell ref="V1:Z3"/>
  </mergeCells>
  <phoneticPr fontId="15" type="noConversion"/>
  <conditionalFormatting sqref="Z60:Z72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9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:O3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1:E169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11:G16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11:I169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10:K169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1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10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9:D20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0:D20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9:F202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9:H20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9:L20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80:N20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9:P20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9:R20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04:R2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A017-093D-4531-832C-7CDE5B04CED3}">
  <dimension ref="A2:R37"/>
  <sheetViews>
    <sheetView zoomScale="80" zoomScaleNormal="80" workbookViewId="0">
      <selection activeCell="E32" sqref="E32"/>
    </sheetView>
  </sheetViews>
  <sheetFormatPr defaultRowHeight="14.5" x14ac:dyDescent="0.35"/>
  <cols>
    <col min="1" max="2" width="10.81640625" bestFit="1" customWidth="1"/>
    <col min="3" max="3" width="10.36328125" customWidth="1"/>
    <col min="4" max="4" width="14.453125" bestFit="1" customWidth="1"/>
    <col min="5" max="5" width="14.26953125" bestFit="1" customWidth="1"/>
    <col min="6" max="6" width="17.90625" customWidth="1"/>
    <col min="7" max="7" width="22.1796875" bestFit="1" customWidth="1"/>
    <col min="8" max="8" width="12.453125" bestFit="1" customWidth="1"/>
    <col min="9" max="9" width="9.1796875" bestFit="1" customWidth="1"/>
    <col min="10" max="10" width="12.453125" bestFit="1" customWidth="1"/>
    <col min="11" max="11" width="9.90625" customWidth="1"/>
    <col min="12" max="12" width="12.453125" bestFit="1" customWidth="1"/>
    <col min="13" max="14" width="18.7265625" customWidth="1"/>
    <col min="15" max="15" width="19.81640625" bestFit="1" customWidth="1"/>
    <col min="16" max="16" width="19.81640625" customWidth="1"/>
    <col min="17" max="17" width="8" bestFit="1" customWidth="1"/>
    <col min="18" max="18" width="19.6328125" customWidth="1"/>
  </cols>
  <sheetData>
    <row r="2" spans="1:18" ht="17.5" x14ac:dyDescent="0.35">
      <c r="A2" s="79" t="s">
        <v>1200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t="s">
        <v>1201</v>
      </c>
    </row>
    <row r="4" spans="1:18" x14ac:dyDescent="0.35">
      <c r="D4" t="s">
        <v>1207</v>
      </c>
    </row>
    <row r="6" spans="1:18" ht="15" x14ac:dyDescent="0.35">
      <c r="A6" s="80" t="s">
        <v>1202</v>
      </c>
      <c r="B6" s="64" t="s">
        <v>1</v>
      </c>
      <c r="C6" s="65" t="s">
        <v>1204</v>
      </c>
      <c r="D6" s="66" t="s">
        <v>1186</v>
      </c>
      <c r="E6" s="62" t="s">
        <v>1159</v>
      </c>
      <c r="F6" s="50" t="s">
        <v>1185</v>
      </c>
      <c r="G6" s="63" t="s">
        <v>1161</v>
      </c>
      <c r="H6" s="51" t="s">
        <v>1186</v>
      </c>
      <c r="I6" s="63" t="s">
        <v>26</v>
      </c>
      <c r="J6" s="51" t="s">
        <v>1186</v>
      </c>
      <c r="K6" s="63" t="s">
        <v>23</v>
      </c>
      <c r="L6" s="51" t="s">
        <v>1186</v>
      </c>
      <c r="M6" s="72" t="s">
        <v>1160</v>
      </c>
      <c r="N6" s="51" t="s">
        <v>1186</v>
      </c>
      <c r="O6" s="72" t="s">
        <v>1156</v>
      </c>
      <c r="P6" s="51" t="s">
        <v>1186</v>
      </c>
      <c r="Q6" s="72" t="s">
        <v>1157</v>
      </c>
      <c r="R6" s="51" t="s">
        <v>1186</v>
      </c>
    </row>
    <row r="7" spans="1:18" ht="15.5" x14ac:dyDescent="0.35">
      <c r="A7" s="80"/>
      <c r="B7" s="68">
        <v>33329</v>
      </c>
      <c r="C7" s="69">
        <v>63.396976500000008</v>
      </c>
      <c r="D7" s="74" t="s">
        <v>892</v>
      </c>
      <c r="E7" s="75">
        <v>2252.9</v>
      </c>
      <c r="F7" s="75"/>
      <c r="G7" s="75">
        <v>146.6</v>
      </c>
      <c r="H7" s="75"/>
      <c r="I7" s="75">
        <v>160.30000000000001</v>
      </c>
      <c r="J7" s="75"/>
      <c r="K7" s="75">
        <v>162.30000000000001</v>
      </c>
      <c r="L7" s="75"/>
      <c r="M7" s="75">
        <v>308.60000000000002</v>
      </c>
      <c r="N7" s="75"/>
      <c r="O7" s="75">
        <v>307.3</v>
      </c>
      <c r="P7" s="75"/>
      <c r="Q7" s="75">
        <v>313.20000000000005</v>
      </c>
      <c r="R7" s="75"/>
    </row>
    <row r="8" spans="1:18" ht="15.5" x14ac:dyDescent="0.35">
      <c r="A8" s="80"/>
      <c r="B8" s="68">
        <v>33359</v>
      </c>
      <c r="C8" s="69">
        <v>66.953084852941174</v>
      </c>
      <c r="D8" s="76">
        <f>(C8-C7)/C7</f>
        <v>5.6092712133380143E-2</v>
      </c>
      <c r="E8" s="75">
        <v>2297.6000000000004</v>
      </c>
      <c r="F8" s="77">
        <f>(E8-E7)/E7</f>
        <v>1.9841093701451581E-2</v>
      </c>
      <c r="G8" s="75">
        <v>148.9</v>
      </c>
      <c r="H8" s="77">
        <f>(G8-G7)/G7</f>
        <v>1.568894952251031E-2</v>
      </c>
      <c r="I8" s="75">
        <v>161.19999999999999</v>
      </c>
      <c r="J8" s="77">
        <f>(I8-I7)/I7</f>
        <v>5.6144728633810183E-3</v>
      </c>
      <c r="K8" s="75">
        <v>165.8</v>
      </c>
      <c r="L8" s="77">
        <f>(K8-K7)/K7</f>
        <v>2.1565003080714726E-2</v>
      </c>
      <c r="M8" s="75">
        <v>314.39999999999998</v>
      </c>
      <c r="N8" s="77">
        <f>(M8-M7)/M7</f>
        <v>1.8794556059623959E-2</v>
      </c>
      <c r="O8" s="75">
        <v>313.89999999999998</v>
      </c>
      <c r="P8" s="77">
        <f>(O8-O7)/O7</f>
        <v>2.1477383664171706E-2</v>
      </c>
      <c r="Q8" s="75">
        <v>316.29999999999995</v>
      </c>
      <c r="R8" s="77">
        <f>(Q8-Q7)/Q7</f>
        <v>9.8978288633458124E-3</v>
      </c>
    </row>
    <row r="9" spans="1:18" ht="15.5" x14ac:dyDescent="0.35">
      <c r="A9" s="80"/>
      <c r="B9" s="68">
        <v>33390</v>
      </c>
      <c r="C9" s="69">
        <v>71.982647477272721</v>
      </c>
      <c r="D9" s="76">
        <f t="shared" ref="D9:D30" si="0">(C9-C8)/C8</f>
        <v>7.512070034381102E-2</v>
      </c>
      <c r="E9" s="75">
        <v>2324.7000000000003</v>
      </c>
      <c r="F9" s="77">
        <f t="shared" ref="F9:F30" si="1">(E9-E8)/E8</f>
        <v>1.1794916434540349E-2</v>
      </c>
      <c r="G9" s="75">
        <v>150.69999999999999</v>
      </c>
      <c r="H9" s="77">
        <f t="shared" ref="H9:H30" si="2">(G9-G8)/G8</f>
        <v>1.2088650100738636E-2</v>
      </c>
      <c r="I9" s="75">
        <v>161.69999999999999</v>
      </c>
      <c r="J9" s="77">
        <f t="shared" ref="J9:J30" si="3">(I9-I8)/I8</f>
        <v>3.1017369727047149E-3</v>
      </c>
      <c r="K9" s="75">
        <v>166.3</v>
      </c>
      <c r="L9" s="77">
        <f t="shared" ref="L9:L30" si="4">(K9-K8)/K8</f>
        <v>3.0156815440289505E-3</v>
      </c>
      <c r="M9" s="75">
        <v>313.70000000000005</v>
      </c>
      <c r="N9" s="77">
        <f t="shared" ref="N9:N30" si="5">(M9-M8)/M8</f>
        <v>-2.2264631043254829E-3</v>
      </c>
      <c r="O9" s="75">
        <v>314</v>
      </c>
      <c r="P9" s="77">
        <f t="shared" ref="P9:P30" si="6">(O9-O8)/O8</f>
        <v>3.1857279388347484E-4</v>
      </c>
      <c r="Q9" s="75">
        <v>315.3</v>
      </c>
      <c r="R9" s="77">
        <f t="shared" ref="R9:R30" si="7">(Q9-Q8)/Q8</f>
        <v>-3.1615554852985877E-3</v>
      </c>
    </row>
    <row r="10" spans="1:18" ht="15.5" x14ac:dyDescent="0.35">
      <c r="A10" s="80"/>
      <c r="B10" s="68">
        <v>33420</v>
      </c>
      <c r="C10" s="69">
        <v>73.539060523809511</v>
      </c>
      <c r="D10" s="76">
        <f t="shared" si="0"/>
        <v>2.1622058941749817E-2</v>
      </c>
      <c r="E10" s="75">
        <v>2338.1999999999998</v>
      </c>
      <c r="F10" s="77">
        <f t="shared" si="1"/>
        <v>5.8072009291519526E-3</v>
      </c>
      <c r="G10" s="75">
        <v>153.1</v>
      </c>
      <c r="H10" s="77">
        <f t="shared" si="2"/>
        <v>1.5925680159256841E-2</v>
      </c>
      <c r="I10" s="75">
        <v>163.19999999999999</v>
      </c>
      <c r="J10" s="77">
        <f t="shared" si="3"/>
        <v>9.2764378478664197E-3</v>
      </c>
      <c r="K10" s="75">
        <v>167</v>
      </c>
      <c r="L10" s="77">
        <f t="shared" si="4"/>
        <v>4.2092603728201361E-3</v>
      </c>
      <c r="M10" s="75">
        <v>315.39999999999998</v>
      </c>
      <c r="N10" s="77">
        <f t="shared" si="5"/>
        <v>5.4191903092124056E-3</v>
      </c>
      <c r="O10" s="75">
        <v>315.89999999999998</v>
      </c>
      <c r="P10" s="77">
        <f t="shared" si="6"/>
        <v>6.0509554140126664E-3</v>
      </c>
      <c r="Q10" s="75">
        <v>317.3</v>
      </c>
      <c r="R10" s="77">
        <f t="shared" si="7"/>
        <v>6.3431652394544879E-3</v>
      </c>
    </row>
    <row r="11" spans="1:18" ht="15.5" x14ac:dyDescent="0.35">
      <c r="A11" s="80"/>
      <c r="B11" s="68">
        <v>33451</v>
      </c>
      <c r="C11" s="69">
        <v>69.804724424999989</v>
      </c>
      <c r="D11" s="76">
        <f t="shared" si="0"/>
        <v>-5.078030739324535E-2</v>
      </c>
      <c r="E11" s="75">
        <v>2334.1</v>
      </c>
      <c r="F11" s="77">
        <f t="shared" si="1"/>
        <v>-1.7534855872037933E-3</v>
      </c>
      <c r="G11" s="75">
        <v>154</v>
      </c>
      <c r="H11" s="77">
        <f t="shared" si="2"/>
        <v>5.8785107772697954E-3</v>
      </c>
      <c r="I11" s="75">
        <v>163.80000000000001</v>
      </c>
      <c r="J11" s="77">
        <f t="shared" si="3"/>
        <v>3.6764705882354337E-3</v>
      </c>
      <c r="K11" s="75">
        <v>168.4</v>
      </c>
      <c r="L11" s="77">
        <f t="shared" si="4"/>
        <v>8.3832335329341659E-3</v>
      </c>
      <c r="M11" s="75">
        <v>317.60000000000002</v>
      </c>
      <c r="N11" s="77">
        <f t="shared" si="5"/>
        <v>6.9752694990489715E-3</v>
      </c>
      <c r="O11" s="75">
        <v>319.8</v>
      </c>
      <c r="P11" s="77">
        <f t="shared" si="6"/>
        <v>1.2345679012345788E-2</v>
      </c>
      <c r="Q11" s="75">
        <v>319.60000000000002</v>
      </c>
      <c r="R11" s="77">
        <f t="shared" si="7"/>
        <v>7.248660573589698E-3</v>
      </c>
    </row>
    <row r="12" spans="1:18" ht="15.5" x14ac:dyDescent="0.35">
      <c r="A12" s="80"/>
      <c r="B12" s="68">
        <v>33482</v>
      </c>
      <c r="C12" s="69">
        <v>73.130738295454549</v>
      </c>
      <c r="D12" s="76">
        <f t="shared" si="0"/>
        <v>4.7647403493843964E-2</v>
      </c>
      <c r="E12" s="75">
        <v>2334.1</v>
      </c>
      <c r="F12" s="77">
        <f t="shared" si="1"/>
        <v>0</v>
      </c>
      <c r="G12" s="75">
        <v>154</v>
      </c>
      <c r="H12" s="77">
        <f t="shared" si="2"/>
        <v>0</v>
      </c>
      <c r="I12" s="75">
        <v>163.69999999999999</v>
      </c>
      <c r="J12" s="77">
        <f t="shared" si="3"/>
        <v>-6.1050061050074928E-4</v>
      </c>
      <c r="K12" s="75">
        <v>168.4</v>
      </c>
      <c r="L12" s="77">
        <f t="shared" si="4"/>
        <v>0</v>
      </c>
      <c r="M12" s="75">
        <v>317.7</v>
      </c>
      <c r="N12" s="77">
        <f t="shared" si="5"/>
        <v>3.1486146095707144E-4</v>
      </c>
      <c r="O12" s="75">
        <v>319.89999999999998</v>
      </c>
      <c r="P12" s="77">
        <f t="shared" si="6"/>
        <v>3.1269543464654747E-4</v>
      </c>
      <c r="Q12" s="75">
        <v>319.60000000000002</v>
      </c>
      <c r="R12" s="77">
        <f t="shared" si="7"/>
        <v>0</v>
      </c>
    </row>
    <row r="13" spans="1:18" ht="15.5" x14ac:dyDescent="0.35">
      <c r="A13" s="80"/>
      <c r="B13" s="68">
        <v>33512</v>
      </c>
      <c r="C13" s="69">
        <v>82.107393785714294</v>
      </c>
      <c r="D13" s="76">
        <f t="shared" si="0"/>
        <v>0.122748049582014</v>
      </c>
      <c r="E13" s="75">
        <v>2368.1999999999998</v>
      </c>
      <c r="F13" s="77">
        <f t="shared" si="1"/>
        <v>1.4609485454779105E-2</v>
      </c>
      <c r="G13" s="75">
        <v>155.69999999999999</v>
      </c>
      <c r="H13" s="77">
        <f t="shared" si="2"/>
        <v>1.1038961038960965E-2</v>
      </c>
      <c r="I13" s="75">
        <v>163.9</v>
      </c>
      <c r="J13" s="77">
        <f t="shared" si="3"/>
        <v>1.2217470983507458E-3</v>
      </c>
      <c r="K13" s="75">
        <v>169.1</v>
      </c>
      <c r="L13" s="77">
        <f t="shared" si="4"/>
        <v>4.1567695961994573E-3</v>
      </c>
      <c r="M13" s="75">
        <v>319.39999999999998</v>
      </c>
      <c r="N13" s="77">
        <f t="shared" si="5"/>
        <v>5.3509600251809529E-3</v>
      </c>
      <c r="O13" s="75">
        <v>322</v>
      </c>
      <c r="P13" s="77">
        <f t="shared" si="6"/>
        <v>6.5645514223195466E-3</v>
      </c>
      <c r="Q13" s="75">
        <v>322</v>
      </c>
      <c r="R13" s="77">
        <f t="shared" si="7"/>
        <v>7.5093867334166996E-3</v>
      </c>
    </row>
    <row r="14" spans="1:18" ht="15.5" x14ac:dyDescent="0.35">
      <c r="A14" s="80"/>
      <c r="B14" s="68">
        <v>33543</v>
      </c>
      <c r="C14" s="69">
        <v>80.637301023809528</v>
      </c>
      <c r="D14" s="76">
        <f t="shared" si="0"/>
        <v>-1.7904511325026917E-2</v>
      </c>
      <c r="E14" s="75">
        <v>2387</v>
      </c>
      <c r="F14" s="77">
        <f t="shared" si="1"/>
        <v>7.9385187061904328E-3</v>
      </c>
      <c r="G14" s="75">
        <v>154.80000000000001</v>
      </c>
      <c r="H14" s="77">
        <f t="shared" si="2"/>
        <v>-5.7803468208091026E-3</v>
      </c>
      <c r="I14" s="75">
        <v>164.3</v>
      </c>
      <c r="J14" s="77">
        <f t="shared" si="3"/>
        <v>2.4405125076266362E-3</v>
      </c>
      <c r="K14" s="75">
        <v>169.9</v>
      </c>
      <c r="L14" s="77">
        <f t="shared" si="4"/>
        <v>4.730928444707341E-3</v>
      </c>
      <c r="M14" s="75">
        <v>322</v>
      </c>
      <c r="N14" s="77">
        <f t="shared" si="5"/>
        <v>8.1402629931121573E-3</v>
      </c>
      <c r="O14" s="75">
        <v>324.60000000000002</v>
      </c>
      <c r="P14" s="77">
        <f t="shared" si="6"/>
        <v>8.0745341614907543E-3</v>
      </c>
      <c r="Q14" s="75">
        <v>323.5</v>
      </c>
      <c r="R14" s="77">
        <f t="shared" si="7"/>
        <v>4.658385093167702E-3</v>
      </c>
    </row>
    <row r="15" spans="1:18" ht="15.5" x14ac:dyDescent="0.35">
      <c r="A15" s="80"/>
      <c r="B15" s="68">
        <v>33573</v>
      </c>
      <c r="C15" s="69">
        <v>73.298823523809531</v>
      </c>
      <c r="D15" s="76">
        <f t="shared" si="0"/>
        <v>-9.1005991108670498E-2</v>
      </c>
      <c r="E15" s="75">
        <v>2373.3000000000002</v>
      </c>
      <c r="F15" s="77">
        <f t="shared" si="1"/>
        <v>-5.7394218684540506E-3</v>
      </c>
      <c r="G15" s="75">
        <v>155.69999999999999</v>
      </c>
      <c r="H15" s="77">
        <f t="shared" si="2"/>
        <v>5.8139534883719455E-3</v>
      </c>
      <c r="I15" s="75">
        <v>164.4</v>
      </c>
      <c r="J15" s="77">
        <f t="shared" si="3"/>
        <v>6.0864272671938102E-4</v>
      </c>
      <c r="K15" s="75">
        <v>170.6</v>
      </c>
      <c r="L15" s="77">
        <f t="shared" si="4"/>
        <v>4.1200706297821578E-3</v>
      </c>
      <c r="M15" s="75">
        <v>323.2</v>
      </c>
      <c r="N15" s="77">
        <f t="shared" si="5"/>
        <v>3.7267080745341263E-3</v>
      </c>
      <c r="O15" s="75">
        <v>327.2</v>
      </c>
      <c r="P15" s="77">
        <f t="shared" si="6"/>
        <v>8.0098582871225062E-3</v>
      </c>
      <c r="Q15" s="75">
        <v>323.60000000000002</v>
      </c>
      <c r="R15" s="77">
        <f t="shared" si="7"/>
        <v>3.0911901081923565E-4</v>
      </c>
    </row>
    <row r="16" spans="1:18" ht="15.5" x14ac:dyDescent="0.35">
      <c r="A16" s="80"/>
      <c r="B16" s="68">
        <v>33604</v>
      </c>
      <c r="C16" s="69">
        <v>84.666318799999985</v>
      </c>
      <c r="D16" s="76">
        <f t="shared" si="0"/>
        <v>0.15508428007030658</v>
      </c>
      <c r="E16" s="75">
        <v>2356.3999999999996</v>
      </c>
      <c r="F16" s="77">
        <f t="shared" si="1"/>
        <v>-7.1208865293054162E-3</v>
      </c>
      <c r="G16" s="75">
        <v>156.5</v>
      </c>
      <c r="H16" s="77">
        <f t="shared" si="2"/>
        <v>5.1380860629416276E-3</v>
      </c>
      <c r="I16" s="75">
        <v>164.7</v>
      </c>
      <c r="J16" s="77">
        <f t="shared" si="3"/>
        <v>1.8248175182480715E-3</v>
      </c>
      <c r="K16" s="75">
        <v>171.4</v>
      </c>
      <c r="L16" s="77">
        <f t="shared" si="4"/>
        <v>4.6893317702228097E-3</v>
      </c>
      <c r="M16" s="75">
        <v>324.2</v>
      </c>
      <c r="N16" s="77">
        <f t="shared" si="5"/>
        <v>3.0940594059405942E-3</v>
      </c>
      <c r="O16" s="75">
        <v>330.6</v>
      </c>
      <c r="P16" s="77">
        <f t="shared" si="6"/>
        <v>1.0391198044009885E-2</v>
      </c>
      <c r="Q16" s="75">
        <v>325.60000000000002</v>
      </c>
      <c r="R16" s="77">
        <f t="shared" si="7"/>
        <v>6.180469715698393E-3</v>
      </c>
    </row>
    <row r="17" spans="1:18" ht="15.5" x14ac:dyDescent="0.35">
      <c r="A17" s="80"/>
      <c r="B17" s="68">
        <v>33635</v>
      </c>
      <c r="C17" s="69">
        <v>94.067715194444446</v>
      </c>
      <c r="D17" s="76">
        <f t="shared" si="0"/>
        <v>0.11104057112312367</v>
      </c>
      <c r="E17" s="75">
        <v>2354.0000000000005</v>
      </c>
      <c r="F17" s="77">
        <f t="shared" si="1"/>
        <v>-1.0185028008823551E-3</v>
      </c>
      <c r="G17" s="75">
        <v>156.9</v>
      </c>
      <c r="H17" s="77">
        <f t="shared" si="2"/>
        <v>2.5559105431310269E-3</v>
      </c>
      <c r="I17" s="75">
        <v>165.4</v>
      </c>
      <c r="J17" s="77">
        <f t="shared" si="3"/>
        <v>4.2501517911355015E-3</v>
      </c>
      <c r="K17" s="75">
        <v>172.2</v>
      </c>
      <c r="L17" s="77">
        <f t="shared" si="4"/>
        <v>4.6674445740955833E-3</v>
      </c>
      <c r="M17" s="75">
        <v>326.5</v>
      </c>
      <c r="N17" s="77">
        <f t="shared" si="5"/>
        <v>7.0943861813695603E-3</v>
      </c>
      <c r="O17" s="75">
        <v>333.20000000000005</v>
      </c>
      <c r="P17" s="77">
        <f t="shared" si="6"/>
        <v>7.8644888082275329E-3</v>
      </c>
      <c r="Q17" s="75">
        <v>327.3</v>
      </c>
      <c r="R17" s="77">
        <f t="shared" si="7"/>
        <v>5.2211302211301863E-3</v>
      </c>
    </row>
    <row r="18" spans="1:18" ht="15.5" x14ac:dyDescent="0.35">
      <c r="A18" s="80"/>
      <c r="B18" s="68">
        <v>33664</v>
      </c>
      <c r="C18" s="69">
        <v>112.87479254347826</v>
      </c>
      <c r="D18" s="76">
        <f t="shared" si="0"/>
        <v>0.19993126557988886</v>
      </c>
      <c r="E18" s="75">
        <v>2377.9</v>
      </c>
      <c r="F18" s="77">
        <f t="shared" si="1"/>
        <v>1.0152931180968407E-2</v>
      </c>
      <c r="G18" s="75">
        <v>157.9</v>
      </c>
      <c r="H18" s="77">
        <f t="shared" si="2"/>
        <v>6.3734862970044612E-3</v>
      </c>
      <c r="I18" s="75">
        <v>166</v>
      </c>
      <c r="J18" s="77">
        <f t="shared" si="3"/>
        <v>3.6275695284159267E-3</v>
      </c>
      <c r="K18" s="75">
        <v>173</v>
      </c>
      <c r="L18" s="77">
        <f t="shared" si="4"/>
        <v>4.6457607433217848E-3</v>
      </c>
      <c r="M18" s="75">
        <v>330.5</v>
      </c>
      <c r="N18" s="77">
        <f t="shared" si="5"/>
        <v>1.2251148545176111E-2</v>
      </c>
      <c r="O18" s="75">
        <v>336.7</v>
      </c>
      <c r="P18" s="77">
        <f t="shared" si="6"/>
        <v>1.0504201680672096E-2</v>
      </c>
      <c r="Q18" s="75">
        <v>328.1</v>
      </c>
      <c r="R18" s="77">
        <f t="shared" si="7"/>
        <v>2.4442407577146695E-3</v>
      </c>
    </row>
    <row r="19" spans="1:18" ht="15.5" x14ac:dyDescent="0.35">
      <c r="A19" s="80" t="s">
        <v>1203</v>
      </c>
      <c r="B19" s="67">
        <v>33329</v>
      </c>
      <c r="C19" s="69">
        <v>102.96599786842103</v>
      </c>
      <c r="D19" s="76">
        <f t="shared" si="0"/>
        <v>-8.7785717712309114E-2</v>
      </c>
      <c r="E19" s="75">
        <v>2408.2000000000003</v>
      </c>
      <c r="F19" s="77">
        <f t="shared" si="1"/>
        <v>1.2742335674334573E-2</v>
      </c>
      <c r="G19" s="75">
        <v>162.6</v>
      </c>
      <c r="H19" s="77">
        <f t="shared" si="2"/>
        <v>2.9765674477517344E-2</v>
      </c>
      <c r="I19" s="75">
        <v>166.9</v>
      </c>
      <c r="J19" s="77">
        <f t="shared" si="3"/>
        <v>5.4216867469879864E-3</v>
      </c>
      <c r="K19" s="75">
        <v>174</v>
      </c>
      <c r="L19" s="77">
        <f t="shared" si="4"/>
        <v>5.7803468208092483E-3</v>
      </c>
      <c r="M19" s="75">
        <v>333.20000000000005</v>
      </c>
      <c r="N19" s="77">
        <f t="shared" si="5"/>
        <v>8.1694402420576257E-3</v>
      </c>
      <c r="O19" s="75">
        <v>340.4</v>
      </c>
      <c r="P19" s="77">
        <f t="shared" si="6"/>
        <v>1.0989010989010955E-2</v>
      </c>
      <c r="Q19" s="75">
        <v>331</v>
      </c>
      <c r="R19" s="77">
        <f t="shared" si="7"/>
        <v>8.8387686680889265E-3</v>
      </c>
    </row>
    <row r="20" spans="1:18" ht="15.5" x14ac:dyDescent="0.35">
      <c r="A20" s="80"/>
      <c r="B20" s="67">
        <v>33359</v>
      </c>
      <c r="C20" s="69">
        <v>109.50503773684208</v>
      </c>
      <c r="D20" s="76">
        <f t="shared" si="0"/>
        <v>6.3506788685496113E-2</v>
      </c>
      <c r="E20" s="75">
        <v>2433.0000000000005</v>
      </c>
      <c r="F20" s="77">
        <f t="shared" si="1"/>
        <v>1.0298147994352703E-2</v>
      </c>
      <c r="G20" s="75">
        <v>163</v>
      </c>
      <c r="H20" s="77">
        <f t="shared" si="2"/>
        <v>2.4600246002460377E-3</v>
      </c>
      <c r="I20" s="75">
        <v>167.9</v>
      </c>
      <c r="J20" s="77">
        <f t="shared" si="3"/>
        <v>5.9916117435590173E-3</v>
      </c>
      <c r="K20" s="75">
        <v>174.8</v>
      </c>
      <c r="L20" s="77">
        <f t="shared" si="4"/>
        <v>4.5977011494253523E-3</v>
      </c>
      <c r="M20" s="75">
        <v>333.5</v>
      </c>
      <c r="N20" s="77">
        <f t="shared" si="5"/>
        <v>9.0036014405748643E-4</v>
      </c>
      <c r="O20" s="75">
        <v>344</v>
      </c>
      <c r="P20" s="77">
        <f t="shared" si="6"/>
        <v>1.0575793184488903E-2</v>
      </c>
      <c r="Q20" s="75">
        <v>332.7</v>
      </c>
      <c r="R20" s="77">
        <f t="shared" si="7"/>
        <v>5.1359516616313857E-3</v>
      </c>
    </row>
    <row r="21" spans="1:18" ht="15.5" x14ac:dyDescent="0.35">
      <c r="A21" s="80"/>
      <c r="B21" s="67">
        <v>33390</v>
      </c>
      <c r="C21" s="69">
        <v>116.01138504999999</v>
      </c>
      <c r="D21" s="76">
        <f t="shared" si="0"/>
        <v>5.9415963389681525E-2</v>
      </c>
      <c r="E21" s="75">
        <v>2456.2000000000003</v>
      </c>
      <c r="F21" s="77">
        <f t="shared" si="1"/>
        <v>9.5355528154540958E-3</v>
      </c>
      <c r="G21" s="75">
        <v>161.1</v>
      </c>
      <c r="H21" s="77">
        <f t="shared" si="2"/>
        <v>-1.1656441717791446E-2</v>
      </c>
      <c r="I21" s="75">
        <v>169</v>
      </c>
      <c r="J21" s="77">
        <f t="shared" si="3"/>
        <v>6.5515187611673272E-3</v>
      </c>
      <c r="K21" s="75">
        <v>175.4</v>
      </c>
      <c r="L21" s="77">
        <f t="shared" si="4"/>
        <v>3.4324942791761686E-3</v>
      </c>
      <c r="M21" s="75">
        <v>335.20000000000005</v>
      </c>
      <c r="N21" s="77">
        <f t="shared" si="5"/>
        <v>5.0974512743629553E-3</v>
      </c>
      <c r="O21" s="75">
        <v>347</v>
      </c>
      <c r="P21" s="77">
        <f t="shared" si="6"/>
        <v>8.7209302325581394E-3</v>
      </c>
      <c r="Q21" s="75">
        <v>333.20000000000005</v>
      </c>
      <c r="R21" s="77">
        <f t="shared" si="7"/>
        <v>1.5028554253082563E-3</v>
      </c>
    </row>
    <row r="22" spans="1:18" ht="15.5" x14ac:dyDescent="0.35">
      <c r="A22" s="80"/>
      <c r="B22" s="67">
        <v>33420</v>
      </c>
      <c r="C22" s="69">
        <v>105.49124737500001</v>
      </c>
      <c r="D22" s="76">
        <f t="shared" si="0"/>
        <v>-9.0681941866876919E-2</v>
      </c>
      <c r="E22" s="75">
        <v>2460.9</v>
      </c>
      <c r="F22" s="77">
        <f t="shared" si="1"/>
        <v>1.9135249572509638E-3</v>
      </c>
      <c r="G22" s="75">
        <v>161.6</v>
      </c>
      <c r="H22" s="77">
        <f t="shared" si="2"/>
        <v>3.1036623215394167E-3</v>
      </c>
      <c r="I22" s="75">
        <v>171.4</v>
      </c>
      <c r="J22" s="77">
        <f t="shared" si="3"/>
        <v>1.4201183431952697E-2</v>
      </c>
      <c r="K22" s="75">
        <v>176.1</v>
      </c>
      <c r="L22" s="77">
        <f t="shared" si="4"/>
        <v>3.9908779931584299E-3</v>
      </c>
      <c r="M22" s="75">
        <v>336</v>
      </c>
      <c r="N22" s="77">
        <f t="shared" si="5"/>
        <v>2.386634844868599E-3</v>
      </c>
      <c r="O22" s="75">
        <v>349.6</v>
      </c>
      <c r="P22" s="77">
        <f t="shared" si="6"/>
        <v>7.4927953890490569E-3</v>
      </c>
      <c r="Q22" s="75">
        <v>335.20000000000005</v>
      </c>
      <c r="R22" s="77">
        <f t="shared" si="7"/>
        <v>6.002400960384153E-3</v>
      </c>
    </row>
    <row r="23" spans="1:18" ht="15.5" x14ac:dyDescent="0.35">
      <c r="A23" s="80"/>
      <c r="B23" s="67">
        <v>33451</v>
      </c>
      <c r="C23" s="69">
        <v>97.404465428571427</v>
      </c>
      <c r="D23" s="76">
        <f t="shared" si="0"/>
        <v>-7.6658321402549315E-2</v>
      </c>
      <c r="E23" s="75">
        <v>2464.2000000000003</v>
      </c>
      <c r="F23" s="77">
        <f t="shared" si="1"/>
        <v>1.3409728148239188E-3</v>
      </c>
      <c r="G23" s="75">
        <v>161.9</v>
      </c>
      <c r="H23" s="77">
        <f t="shared" si="2"/>
        <v>1.8564356435644268E-3</v>
      </c>
      <c r="I23" s="75">
        <v>172.3</v>
      </c>
      <c r="J23" s="77">
        <f t="shared" si="3"/>
        <v>5.2508751458576761E-3</v>
      </c>
      <c r="K23" s="75">
        <v>176.8</v>
      </c>
      <c r="L23" s="77">
        <f t="shared" si="4"/>
        <v>3.9750141964793699E-3</v>
      </c>
      <c r="M23" s="75">
        <v>338.1</v>
      </c>
      <c r="N23" s="77">
        <f t="shared" si="5"/>
        <v>6.250000000000068E-3</v>
      </c>
      <c r="O23" s="75">
        <v>352.2</v>
      </c>
      <c r="P23" s="77">
        <f t="shared" si="6"/>
        <v>7.4370709382150053E-3</v>
      </c>
      <c r="Q23" s="75">
        <v>337.5</v>
      </c>
      <c r="R23" s="77">
        <f t="shared" si="7"/>
        <v>6.8615751789974765E-3</v>
      </c>
    </row>
    <row r="24" spans="1:18" ht="15.5" x14ac:dyDescent="0.35">
      <c r="A24" s="80"/>
      <c r="B24" s="67">
        <v>33482</v>
      </c>
      <c r="C24" s="69">
        <v>90.706344809523813</v>
      </c>
      <c r="D24" s="76">
        <f t="shared" si="0"/>
        <v>-6.8766052866020555E-2</v>
      </c>
      <c r="E24" s="75">
        <v>2476.8000000000002</v>
      </c>
      <c r="F24" s="77">
        <f t="shared" si="1"/>
        <v>5.1132213294375079E-3</v>
      </c>
      <c r="G24" s="75">
        <v>162.30000000000001</v>
      </c>
      <c r="H24" s="77">
        <f t="shared" si="2"/>
        <v>2.470660901791264E-3</v>
      </c>
      <c r="I24" s="75">
        <v>173.1</v>
      </c>
      <c r="J24" s="77">
        <f t="shared" si="3"/>
        <v>4.6430644225187636E-3</v>
      </c>
      <c r="K24" s="75">
        <v>177.8</v>
      </c>
      <c r="L24" s="77">
        <f t="shared" si="4"/>
        <v>5.6561085972850677E-3</v>
      </c>
      <c r="M24" s="75">
        <v>338.5</v>
      </c>
      <c r="N24" s="77">
        <f t="shared" si="5"/>
        <v>1.183081928423476E-3</v>
      </c>
      <c r="O24" s="75">
        <v>355.20000000000005</v>
      </c>
      <c r="P24" s="77">
        <f t="shared" si="6"/>
        <v>8.5178875638843177E-3</v>
      </c>
      <c r="Q24" s="75">
        <v>339</v>
      </c>
      <c r="R24" s="77">
        <f t="shared" si="7"/>
        <v>4.4444444444444444E-3</v>
      </c>
    </row>
    <row r="25" spans="1:18" ht="15.5" x14ac:dyDescent="0.35">
      <c r="A25" s="80"/>
      <c r="B25" s="67">
        <v>33512</v>
      </c>
      <c r="C25" s="69">
        <v>91.698948700000003</v>
      </c>
      <c r="D25" s="76">
        <f t="shared" si="0"/>
        <v>1.0943048058662044E-2</v>
      </c>
      <c r="E25" s="75">
        <v>2493.6000000000004</v>
      </c>
      <c r="F25" s="77">
        <f t="shared" si="1"/>
        <v>6.7829457364341813E-3</v>
      </c>
      <c r="G25" s="75">
        <v>162.9</v>
      </c>
      <c r="H25" s="77">
        <f t="shared" si="2"/>
        <v>3.6968576709796321E-3</v>
      </c>
      <c r="I25" s="75">
        <v>173.4</v>
      </c>
      <c r="J25" s="77">
        <f t="shared" si="3"/>
        <v>1.7331022530329948E-3</v>
      </c>
      <c r="K25" s="75">
        <v>178.7</v>
      </c>
      <c r="L25" s="77">
        <f t="shared" si="4"/>
        <v>5.0618672665915477E-3</v>
      </c>
      <c r="M25" s="75">
        <v>340.29999999999995</v>
      </c>
      <c r="N25" s="77">
        <f t="shared" si="5"/>
        <v>5.317577548005774E-3</v>
      </c>
      <c r="O25" s="75">
        <v>357.20000000000005</v>
      </c>
      <c r="P25" s="77">
        <f t="shared" si="6"/>
        <v>5.6306306306306295E-3</v>
      </c>
      <c r="Q25" s="75">
        <v>341.6</v>
      </c>
      <c r="R25" s="77">
        <f t="shared" si="7"/>
        <v>7.669616519174108E-3</v>
      </c>
    </row>
    <row r="26" spans="1:18" ht="15.5" x14ac:dyDescent="0.35">
      <c r="A26" s="80"/>
      <c r="B26" s="67">
        <v>33543</v>
      </c>
      <c r="C26" s="69">
        <v>87.552266068181822</v>
      </c>
      <c r="D26" s="76">
        <f t="shared" si="0"/>
        <v>-4.5220612565410795E-2</v>
      </c>
      <c r="E26" s="75">
        <v>2493.7000000000003</v>
      </c>
      <c r="F26" s="77">
        <f t="shared" si="1"/>
        <v>4.010266281677456E-5</v>
      </c>
      <c r="G26" s="75">
        <v>163</v>
      </c>
      <c r="H26" s="77">
        <f t="shared" si="2"/>
        <v>6.1387354205030267E-4</v>
      </c>
      <c r="I26" s="75">
        <v>173.7</v>
      </c>
      <c r="J26" s="77">
        <f t="shared" si="3"/>
        <v>1.7301038062282753E-3</v>
      </c>
      <c r="K26" s="75">
        <v>179.8</v>
      </c>
      <c r="L26" s="77">
        <f t="shared" si="4"/>
        <v>6.1555679910465745E-3</v>
      </c>
      <c r="M26" s="75">
        <v>342.1</v>
      </c>
      <c r="N26" s="77">
        <f t="shared" si="5"/>
        <v>5.2894504848664953E-3</v>
      </c>
      <c r="O26" s="75">
        <v>359.29999999999995</v>
      </c>
      <c r="P26" s="77">
        <f t="shared" si="6"/>
        <v>5.8790593505036641E-3</v>
      </c>
      <c r="Q26" s="75">
        <v>343.20000000000005</v>
      </c>
      <c r="R26" s="77">
        <f t="shared" si="7"/>
        <v>4.6838407494145858E-3</v>
      </c>
    </row>
    <row r="27" spans="1:18" ht="15.5" x14ac:dyDescent="0.35">
      <c r="A27" s="80"/>
      <c r="B27" s="67">
        <v>33573</v>
      </c>
      <c r="C27" s="69">
        <v>78.100942275000008</v>
      </c>
      <c r="D27" s="76">
        <f t="shared" si="0"/>
        <v>-0.1079506472833215</v>
      </c>
      <c r="E27" s="75">
        <v>2480.7000000000003</v>
      </c>
      <c r="F27" s="77">
        <f t="shared" si="1"/>
        <v>-5.2131371055058745E-3</v>
      </c>
      <c r="G27" s="75">
        <v>163.4</v>
      </c>
      <c r="H27" s="77">
        <f t="shared" si="2"/>
        <v>2.4539877300613845E-3</v>
      </c>
      <c r="I27" s="75">
        <v>174.1</v>
      </c>
      <c r="J27" s="77">
        <f t="shared" si="3"/>
        <v>2.3028209556707293E-3</v>
      </c>
      <c r="K27" s="75">
        <v>181.1</v>
      </c>
      <c r="L27" s="77">
        <f t="shared" si="4"/>
        <v>7.2302558398219295E-3</v>
      </c>
      <c r="M27" s="75">
        <v>344.70000000000005</v>
      </c>
      <c r="N27" s="77">
        <f t="shared" si="5"/>
        <v>7.6001169248758335E-3</v>
      </c>
      <c r="O27" s="75">
        <v>361</v>
      </c>
      <c r="P27" s="77">
        <f t="shared" si="6"/>
        <v>4.7314222098526178E-3</v>
      </c>
      <c r="Q27" s="75">
        <v>342.79999999999995</v>
      </c>
      <c r="R27" s="77">
        <f t="shared" si="7"/>
        <v>-1.1655011655014303E-3</v>
      </c>
    </row>
    <row r="28" spans="1:18" ht="15.5" x14ac:dyDescent="0.35">
      <c r="A28" s="80"/>
      <c r="B28" s="67">
        <v>33604</v>
      </c>
      <c r="C28" s="69">
        <v>80.922269684210534</v>
      </c>
      <c r="D28" s="76">
        <f t="shared" si="0"/>
        <v>3.6124114857364886E-2</v>
      </c>
      <c r="E28" s="75">
        <v>2490.8999999999996</v>
      </c>
      <c r="F28" s="77">
        <f t="shared" si="1"/>
        <v>4.1117426532830906E-3</v>
      </c>
      <c r="G28" s="75">
        <v>163.6</v>
      </c>
      <c r="H28" s="77">
        <f t="shared" si="2"/>
        <v>1.2239902080782657E-3</v>
      </c>
      <c r="I28" s="75">
        <v>174.3</v>
      </c>
      <c r="J28" s="77">
        <f t="shared" si="3"/>
        <v>1.1487650775417408E-3</v>
      </c>
      <c r="K28" s="75">
        <v>182.3</v>
      </c>
      <c r="L28" s="77">
        <f t="shared" si="4"/>
        <v>6.6261733848703317E-3</v>
      </c>
      <c r="M28" s="75">
        <v>348.1</v>
      </c>
      <c r="N28" s="77">
        <f t="shared" si="5"/>
        <v>9.8636495503335569E-3</v>
      </c>
      <c r="O28" s="75">
        <v>362.5</v>
      </c>
      <c r="P28" s="77">
        <f t="shared" si="6"/>
        <v>4.1551246537396124E-3</v>
      </c>
      <c r="Q28" s="75">
        <v>345</v>
      </c>
      <c r="R28" s="77">
        <f t="shared" si="7"/>
        <v>6.4177362893816968E-3</v>
      </c>
    </row>
    <row r="29" spans="1:18" ht="15.5" x14ac:dyDescent="0.35">
      <c r="A29" s="80"/>
      <c r="B29" s="67">
        <v>33635</v>
      </c>
      <c r="C29" s="69">
        <v>82.278706675000009</v>
      </c>
      <c r="D29" s="76">
        <f t="shared" si="0"/>
        <v>1.676222127830582E-2</v>
      </c>
      <c r="E29" s="75">
        <v>2478.6</v>
      </c>
      <c r="F29" s="77">
        <f t="shared" si="1"/>
        <v>-4.9379742261831984E-3</v>
      </c>
      <c r="G29" s="75">
        <v>164.2</v>
      </c>
      <c r="H29" s="77">
        <f t="shared" si="2"/>
        <v>3.6674816625916523E-3</v>
      </c>
      <c r="I29" s="75">
        <v>175</v>
      </c>
      <c r="J29" s="77">
        <f t="shared" si="3"/>
        <v>4.016064257028047E-3</v>
      </c>
      <c r="K29" s="75">
        <v>184.4</v>
      </c>
      <c r="L29" s="77">
        <f t="shared" si="4"/>
        <v>1.1519473395501889E-2</v>
      </c>
      <c r="M29" s="75">
        <v>351.3</v>
      </c>
      <c r="N29" s="77">
        <f t="shared" si="5"/>
        <v>9.192760700947971E-3</v>
      </c>
      <c r="O29" s="75">
        <v>364.9</v>
      </c>
      <c r="P29" s="77">
        <f t="shared" si="6"/>
        <v>6.6206896551723512E-3</v>
      </c>
      <c r="Q29" s="75">
        <v>347.7</v>
      </c>
      <c r="R29" s="77">
        <f t="shared" si="7"/>
        <v>7.8260869565217068E-3</v>
      </c>
    </row>
    <row r="30" spans="1:18" ht="15.5" x14ac:dyDescent="0.35">
      <c r="A30" s="80"/>
      <c r="B30" s="67">
        <v>33664</v>
      </c>
      <c r="C30" s="69">
        <v>78.539480282608693</v>
      </c>
      <c r="D30" s="76">
        <f t="shared" si="0"/>
        <v>-4.5445857664744529E-2</v>
      </c>
      <c r="E30" s="75">
        <v>2478.6999999999998</v>
      </c>
      <c r="F30" s="77">
        <f t="shared" si="1"/>
        <v>4.034535624945899E-5</v>
      </c>
      <c r="G30" s="75">
        <v>164.2</v>
      </c>
      <c r="H30" s="77">
        <f t="shared" si="2"/>
        <v>0</v>
      </c>
      <c r="I30" s="75">
        <v>175</v>
      </c>
      <c r="J30" s="77">
        <f t="shared" si="3"/>
        <v>0</v>
      </c>
      <c r="K30" s="75">
        <v>184.4</v>
      </c>
      <c r="L30" s="77">
        <f t="shared" si="4"/>
        <v>0</v>
      </c>
      <c r="M30" s="75">
        <v>351.3</v>
      </c>
      <c r="N30" s="77">
        <f t="shared" si="5"/>
        <v>0</v>
      </c>
      <c r="O30" s="75">
        <v>364.79999999999995</v>
      </c>
      <c r="P30" s="77">
        <f t="shared" si="6"/>
        <v>-2.7404768429713E-4</v>
      </c>
      <c r="Q30" s="75">
        <v>347.7</v>
      </c>
      <c r="R30" s="77">
        <f t="shared" si="7"/>
        <v>0</v>
      </c>
    </row>
    <row r="31" spans="1:18" x14ac:dyDescent="0.35"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x14ac:dyDescent="0.35">
      <c r="B32" s="70" t="s">
        <v>1205</v>
      </c>
      <c r="C32" s="70"/>
      <c r="D32" s="70"/>
      <c r="E32" s="71">
        <f>CORREL($C$7:$C$30,E7:E30)</f>
        <v>0.49511674542552048</v>
      </c>
      <c r="F32" s="71"/>
      <c r="G32" s="71">
        <f>CORREL($C$7:$C$30,G7:G30)</f>
        <v>0.59690542405530278</v>
      </c>
      <c r="H32" s="71"/>
      <c r="I32" s="71">
        <f>CORREL($C$7:$C$30,I7:I30)</f>
        <v>0.36292640574537133</v>
      </c>
      <c r="J32" s="71"/>
      <c r="K32" s="71">
        <f>CORREL($C$7:$C$30,K7:K30)</f>
        <v>0.38137546525119653</v>
      </c>
      <c r="L32" s="71"/>
      <c r="M32" s="71">
        <f>CORREL($C$7:$C$30,M7:M30)</f>
        <v>0.43486838392866489</v>
      </c>
      <c r="N32" s="71"/>
      <c r="O32" s="71">
        <f>CORREL($C$7:$C$30,O7:O30)</f>
        <v>0.46149990956614106</v>
      </c>
      <c r="P32" s="71"/>
      <c r="Q32" s="71">
        <f>CORREL($C$7:$C$30,Q7:Q30)</f>
        <v>0.40128562416580793</v>
      </c>
      <c r="R32" s="70"/>
    </row>
    <row r="35" spans="3:3" x14ac:dyDescent="0.35">
      <c r="C35" s="34" t="s">
        <v>1206</v>
      </c>
    </row>
    <row r="37" spans="3:3" x14ac:dyDescent="0.35">
      <c r="C37" t="s">
        <v>1211</v>
      </c>
    </row>
  </sheetData>
  <mergeCells count="3">
    <mergeCell ref="A2:Q2"/>
    <mergeCell ref="A6:A18"/>
    <mergeCell ref="A19:A30"/>
  </mergeCells>
  <conditionalFormatting sqref="D7:D3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:D30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:F3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:H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:L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:N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:P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:R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DD20-7054-453F-9649-4615A2E74AFF}">
  <dimension ref="A1:T125"/>
  <sheetViews>
    <sheetView topLeftCell="E1" workbookViewId="0">
      <selection activeCell="R23" sqref="R23"/>
    </sheetView>
  </sheetViews>
  <sheetFormatPr defaultRowHeight="14.5" x14ac:dyDescent="0.35"/>
  <cols>
    <col min="1" max="1" width="11.36328125" bestFit="1" customWidth="1"/>
    <col min="2" max="2" width="11.36328125" customWidth="1"/>
    <col min="3" max="3" width="9.90625" bestFit="1" customWidth="1"/>
    <col min="4" max="4" width="15.7265625" customWidth="1"/>
    <col min="6" max="6" width="9.90625" customWidth="1"/>
    <col min="7" max="7" width="10" customWidth="1"/>
    <col min="8" max="8" width="11.54296875" customWidth="1"/>
    <col min="9" max="9" width="8.26953125" bestFit="1" customWidth="1"/>
    <col min="10" max="10" width="6.1796875" bestFit="1" customWidth="1"/>
    <col min="11" max="11" width="9.81640625" bestFit="1" customWidth="1"/>
    <col min="12" max="12" width="11.81640625" bestFit="1" customWidth="1"/>
    <col min="13" max="15" width="6.81640625" bestFit="1" customWidth="1"/>
    <col min="16" max="16" width="10" bestFit="1" customWidth="1"/>
    <col min="17" max="17" width="7.6328125" bestFit="1" customWidth="1"/>
    <col min="18" max="18" width="9.54296875" bestFit="1" customWidth="1"/>
    <col min="19" max="19" width="9.36328125" bestFit="1" customWidth="1"/>
    <col min="20" max="20" width="11.81640625" bestFit="1" customWidth="1"/>
  </cols>
  <sheetData>
    <row r="1" spans="1:20" x14ac:dyDescent="0.35">
      <c r="A1" s="46" t="s">
        <v>0</v>
      </c>
      <c r="B1" s="1" t="s">
        <v>1</v>
      </c>
      <c r="C1" s="1" t="s">
        <v>2</v>
      </c>
      <c r="D1" s="47" t="s">
        <v>29</v>
      </c>
    </row>
    <row r="2" spans="1:20" x14ac:dyDescent="0.35">
      <c r="A2" s="14" t="s">
        <v>73</v>
      </c>
      <c r="B2" s="2">
        <v>2013</v>
      </c>
      <c r="C2" s="2" t="s">
        <v>31</v>
      </c>
      <c r="D2" s="48">
        <v>104.6</v>
      </c>
      <c r="T2" s="34" t="s">
        <v>1172</v>
      </c>
    </row>
    <row r="3" spans="1:20" ht="20" thickBot="1" x14ac:dyDescent="0.5">
      <c r="A3" s="13" t="s">
        <v>73</v>
      </c>
      <c r="B3" s="3">
        <v>2013</v>
      </c>
      <c r="C3" s="3" t="s">
        <v>85</v>
      </c>
      <c r="D3" s="49">
        <v>105.3</v>
      </c>
      <c r="J3" s="28" t="s">
        <v>1210</v>
      </c>
    </row>
    <row r="4" spans="1:20" ht="15" thickTop="1" x14ac:dyDescent="0.35">
      <c r="A4" s="14" t="s">
        <v>73</v>
      </c>
      <c r="B4" s="2">
        <v>2013</v>
      </c>
      <c r="C4" s="2" t="s">
        <v>107</v>
      </c>
      <c r="D4" s="48">
        <v>105.5</v>
      </c>
    </row>
    <row r="5" spans="1:20" x14ac:dyDescent="0.35">
      <c r="A5" s="13" t="s">
        <v>73</v>
      </c>
      <c r="B5" s="3">
        <v>2013</v>
      </c>
      <c r="C5" s="3" t="s">
        <v>123</v>
      </c>
      <c r="D5" s="49">
        <v>106.1</v>
      </c>
      <c r="G5" s="36" t="s">
        <v>1208</v>
      </c>
      <c r="H5" s="36" t="s">
        <v>31</v>
      </c>
      <c r="I5" s="36" t="s">
        <v>85</v>
      </c>
      <c r="J5" s="36" t="s">
        <v>107</v>
      </c>
      <c r="K5" s="36" t="s">
        <v>123</v>
      </c>
      <c r="L5" s="36" t="s">
        <v>136</v>
      </c>
      <c r="M5" s="36" t="s">
        <v>146</v>
      </c>
      <c r="N5" s="36" t="s">
        <v>163</v>
      </c>
      <c r="O5" s="36" t="s">
        <v>182</v>
      </c>
      <c r="P5" s="36" t="s">
        <v>197</v>
      </c>
      <c r="Q5" s="36" t="s">
        <v>207</v>
      </c>
      <c r="R5" s="36" t="s">
        <v>233</v>
      </c>
      <c r="S5" s="36" t="s">
        <v>242</v>
      </c>
      <c r="T5" s="36" t="s">
        <v>1168</v>
      </c>
    </row>
    <row r="6" spans="1:20" x14ac:dyDescent="0.35">
      <c r="A6" s="14" t="s">
        <v>73</v>
      </c>
      <c r="B6" s="2">
        <v>2013</v>
      </c>
      <c r="C6" s="2" t="s">
        <v>136</v>
      </c>
      <c r="D6" s="48">
        <v>106.9</v>
      </c>
      <c r="G6" s="84">
        <v>2017</v>
      </c>
      <c r="H6" s="45">
        <v>130.30000000000001</v>
      </c>
      <c r="I6" s="45">
        <v>130.6</v>
      </c>
      <c r="J6" s="45">
        <v>130.9</v>
      </c>
      <c r="K6" s="45">
        <v>131.1</v>
      </c>
      <c r="L6" s="45">
        <v>131.4</v>
      </c>
      <c r="M6" s="45">
        <v>132</v>
      </c>
      <c r="N6" s="45">
        <v>134.19999999999999</v>
      </c>
      <c r="O6" s="45">
        <v>135.4</v>
      </c>
      <c r="P6" s="45">
        <v>135.19999999999999</v>
      </c>
      <c r="Q6" s="45">
        <v>136.1</v>
      </c>
      <c r="R6" s="45">
        <v>137.6</v>
      </c>
      <c r="S6" s="45">
        <v>137.19999999999999</v>
      </c>
      <c r="T6" s="27">
        <f t="shared" ref="T6:T11" si="0">(S6-H6)/H6</f>
        <v>5.295471987720627E-2</v>
      </c>
    </row>
    <row r="7" spans="1:20" x14ac:dyDescent="0.35">
      <c r="A7" s="13" t="s">
        <v>73</v>
      </c>
      <c r="B7" s="3">
        <v>2013</v>
      </c>
      <c r="C7" s="3" t="s">
        <v>146</v>
      </c>
      <c r="D7" s="49">
        <v>109.3</v>
      </c>
      <c r="G7" s="84">
        <v>2018</v>
      </c>
      <c r="H7" s="45">
        <v>136.9</v>
      </c>
      <c r="I7" s="45">
        <v>136.4</v>
      </c>
      <c r="J7" s="45">
        <v>136.5</v>
      </c>
      <c r="K7" s="45">
        <v>137.1</v>
      </c>
      <c r="L7" s="45">
        <v>137.80000000000001</v>
      </c>
      <c r="M7" s="45">
        <v>138.5</v>
      </c>
      <c r="N7" s="45">
        <v>139.80000000000001</v>
      </c>
      <c r="O7" s="45">
        <v>140.4</v>
      </c>
      <c r="P7" s="45">
        <v>140.19999999999999</v>
      </c>
      <c r="Q7" s="45">
        <v>140.80000000000001</v>
      </c>
      <c r="R7" s="45">
        <v>140.80000000000001</v>
      </c>
      <c r="S7" s="45">
        <v>140.1</v>
      </c>
      <c r="T7" s="27">
        <f t="shared" si="0"/>
        <v>2.3374726077428697E-2</v>
      </c>
    </row>
    <row r="8" spans="1:20" x14ac:dyDescent="0.35">
      <c r="A8" s="14" t="s">
        <v>73</v>
      </c>
      <c r="B8" s="2">
        <v>2013</v>
      </c>
      <c r="C8" s="2" t="s">
        <v>163</v>
      </c>
      <c r="D8" s="48">
        <v>111</v>
      </c>
      <c r="G8" s="84">
        <v>2019</v>
      </c>
      <c r="H8" s="45">
        <v>139.6</v>
      </c>
      <c r="I8" s="45">
        <v>139.9</v>
      </c>
      <c r="J8" s="45">
        <v>140.4</v>
      </c>
      <c r="K8" s="45"/>
      <c r="L8" s="45">
        <v>142</v>
      </c>
      <c r="M8" s="45">
        <v>142.9</v>
      </c>
      <c r="N8" s="45">
        <v>144.19999999999999</v>
      </c>
      <c r="O8" s="45">
        <v>145</v>
      </c>
      <c r="P8" s="45">
        <v>145.80000000000001</v>
      </c>
      <c r="Q8" s="45">
        <v>147.19999999999999</v>
      </c>
      <c r="R8" s="45">
        <v>148.6</v>
      </c>
      <c r="S8" s="45">
        <v>150.4</v>
      </c>
      <c r="T8" s="27">
        <f t="shared" si="0"/>
        <v>7.7363896848137617E-2</v>
      </c>
    </row>
    <row r="9" spans="1:20" x14ac:dyDescent="0.35">
      <c r="A9" s="13" t="s">
        <v>73</v>
      </c>
      <c r="B9" s="3">
        <v>2013</v>
      </c>
      <c r="C9" s="3" t="s">
        <v>182</v>
      </c>
      <c r="D9" s="49">
        <v>112.4</v>
      </c>
      <c r="G9" s="84">
        <v>2020</v>
      </c>
      <c r="H9" s="45">
        <v>150.19999999999999</v>
      </c>
      <c r="I9" s="45">
        <v>149.1</v>
      </c>
      <c r="J9" s="45">
        <v>148.6</v>
      </c>
      <c r="K9" s="45">
        <v>148.11249999999998</v>
      </c>
      <c r="L9" s="45">
        <v>148.17343749999998</v>
      </c>
      <c r="M9" s="45">
        <v>151.80000000000001</v>
      </c>
      <c r="N9" s="45">
        <v>151.80000000000001</v>
      </c>
      <c r="O9" s="45">
        <v>153.9</v>
      </c>
      <c r="P9" s="45">
        <v>154.69999999999999</v>
      </c>
      <c r="Q9" s="45">
        <v>156.4</v>
      </c>
      <c r="R9" s="45">
        <v>158.4</v>
      </c>
      <c r="S9" s="45">
        <v>158.9</v>
      </c>
      <c r="T9" s="27">
        <f t="shared" si="0"/>
        <v>5.7922769640479481E-2</v>
      </c>
    </row>
    <row r="10" spans="1:20" x14ac:dyDescent="0.35">
      <c r="A10" s="14" t="s">
        <v>73</v>
      </c>
      <c r="B10" s="2">
        <v>2013</v>
      </c>
      <c r="C10" s="2" t="s">
        <v>197</v>
      </c>
      <c r="D10" s="48">
        <v>113.7</v>
      </c>
      <c r="G10" s="84">
        <v>2021</v>
      </c>
      <c r="H10" s="45">
        <v>157.30000000000001</v>
      </c>
      <c r="I10" s="45">
        <v>156.6</v>
      </c>
      <c r="J10" s="45">
        <v>156.80000000000001</v>
      </c>
      <c r="K10" s="45">
        <v>157.80000000000001</v>
      </c>
      <c r="L10" s="45">
        <v>160.4</v>
      </c>
      <c r="M10" s="45">
        <v>161.30000000000001</v>
      </c>
      <c r="N10" s="45">
        <v>162.5</v>
      </c>
      <c r="O10" s="45">
        <v>163.19999999999999</v>
      </c>
      <c r="P10" s="45">
        <v>163.19999999999999</v>
      </c>
      <c r="Q10" s="45">
        <v>165.5</v>
      </c>
      <c r="R10" s="45">
        <v>166.7</v>
      </c>
      <c r="S10" s="45">
        <v>166.2</v>
      </c>
      <c r="T10" s="27">
        <f t="shared" si="0"/>
        <v>5.657978385251098E-2</v>
      </c>
    </row>
    <row r="11" spans="1:20" x14ac:dyDescent="0.35">
      <c r="A11" s="13" t="s">
        <v>73</v>
      </c>
      <c r="B11" s="3">
        <v>2013</v>
      </c>
      <c r="C11" s="3" t="s">
        <v>207</v>
      </c>
      <c r="D11" s="49">
        <v>114.8</v>
      </c>
      <c r="G11" s="84">
        <v>2022</v>
      </c>
      <c r="H11" s="45">
        <v>165.7</v>
      </c>
      <c r="I11" s="45">
        <v>166.1</v>
      </c>
      <c r="J11" s="45">
        <v>167.7</v>
      </c>
      <c r="K11" s="45">
        <v>170.1</v>
      </c>
      <c r="L11" s="45">
        <v>171.7</v>
      </c>
      <c r="M11" s="45">
        <v>172.6</v>
      </c>
      <c r="N11" s="45">
        <v>173.4</v>
      </c>
      <c r="O11" s="45">
        <v>174.3</v>
      </c>
      <c r="P11" s="45">
        <v>175.3</v>
      </c>
      <c r="Q11" s="45">
        <v>176.7</v>
      </c>
      <c r="R11" s="45">
        <v>176.5</v>
      </c>
      <c r="S11" s="45">
        <v>175.7</v>
      </c>
      <c r="T11" s="27">
        <f t="shared" si="0"/>
        <v>6.0350030175015092E-2</v>
      </c>
    </row>
    <row r="12" spans="1:20" x14ac:dyDescent="0.35">
      <c r="A12" s="14" t="s">
        <v>73</v>
      </c>
      <c r="B12" s="2">
        <v>2013</v>
      </c>
      <c r="C12" s="2" t="s">
        <v>233</v>
      </c>
      <c r="D12" s="48">
        <v>116.3</v>
      </c>
    </row>
    <row r="13" spans="1:20" x14ac:dyDescent="0.35">
      <c r="A13" s="13" t="s">
        <v>73</v>
      </c>
      <c r="B13" s="3">
        <v>2013</v>
      </c>
      <c r="C13" s="3" t="s">
        <v>242</v>
      </c>
      <c r="D13" s="49">
        <v>114.5</v>
      </c>
    </row>
    <row r="14" spans="1:20" x14ac:dyDescent="0.35">
      <c r="A14" s="14" t="s">
        <v>73</v>
      </c>
      <c r="B14" s="2">
        <v>2014</v>
      </c>
      <c r="C14" s="2" t="s">
        <v>31</v>
      </c>
      <c r="D14" s="48">
        <v>113.6</v>
      </c>
    </row>
    <row r="15" spans="1:20" x14ac:dyDescent="0.35">
      <c r="A15" s="13" t="s">
        <v>73</v>
      </c>
      <c r="B15" s="3">
        <v>2014</v>
      </c>
      <c r="C15" s="3" t="s">
        <v>85</v>
      </c>
      <c r="D15" s="49">
        <v>113.6</v>
      </c>
    </row>
    <row r="16" spans="1:20" x14ac:dyDescent="0.35">
      <c r="A16" s="14" t="s">
        <v>73</v>
      </c>
      <c r="B16" s="2">
        <v>2014</v>
      </c>
      <c r="C16" s="2" t="s">
        <v>107</v>
      </c>
      <c r="D16" s="48">
        <v>114.2</v>
      </c>
    </row>
    <row r="17" spans="1:19" x14ac:dyDescent="0.35">
      <c r="A17" s="13" t="s">
        <v>73</v>
      </c>
      <c r="B17" s="3">
        <v>2014</v>
      </c>
      <c r="C17" s="3" t="s">
        <v>123</v>
      </c>
      <c r="D17" s="49">
        <v>115.1</v>
      </c>
      <c r="S17" s="34" t="s">
        <v>1172</v>
      </c>
    </row>
    <row r="18" spans="1:19" x14ac:dyDescent="0.35">
      <c r="A18" s="14" t="s">
        <v>73</v>
      </c>
      <c r="B18" s="2">
        <v>2014</v>
      </c>
      <c r="C18" s="2" t="s">
        <v>136</v>
      </c>
      <c r="D18" s="48">
        <v>115.8</v>
      </c>
      <c r="S18" t="s">
        <v>1209</v>
      </c>
    </row>
    <row r="19" spans="1:19" x14ac:dyDescent="0.35">
      <c r="A19" s="13" t="s">
        <v>73</v>
      </c>
      <c r="B19" s="3">
        <v>2014</v>
      </c>
      <c r="C19" s="3" t="s">
        <v>146</v>
      </c>
      <c r="D19" s="49">
        <v>116.7</v>
      </c>
    </row>
    <row r="20" spans="1:19" x14ac:dyDescent="0.35">
      <c r="A20" s="14" t="s">
        <v>73</v>
      </c>
      <c r="B20" s="2">
        <v>2014</v>
      </c>
      <c r="C20" s="2" t="s">
        <v>163</v>
      </c>
      <c r="D20" s="48">
        <v>119.2</v>
      </c>
    </row>
    <row r="21" spans="1:19" x14ac:dyDescent="0.35">
      <c r="A21" s="13" t="s">
        <v>73</v>
      </c>
      <c r="B21" s="3">
        <v>2014</v>
      </c>
      <c r="C21" s="3" t="s">
        <v>182</v>
      </c>
      <c r="D21" s="49">
        <v>120.3</v>
      </c>
    </row>
    <row r="22" spans="1:19" x14ac:dyDescent="0.35">
      <c r="A22" s="14" t="s">
        <v>73</v>
      </c>
      <c r="B22" s="2">
        <v>2014</v>
      </c>
      <c r="C22" s="2" t="s">
        <v>197</v>
      </c>
      <c r="D22" s="48">
        <v>120.1</v>
      </c>
    </row>
    <row r="23" spans="1:19" x14ac:dyDescent="0.35">
      <c r="A23" s="13" t="s">
        <v>73</v>
      </c>
      <c r="B23" s="3">
        <v>2014</v>
      </c>
      <c r="C23" s="3" t="s">
        <v>207</v>
      </c>
      <c r="D23" s="49">
        <v>120.1</v>
      </c>
    </row>
    <row r="24" spans="1:19" x14ac:dyDescent="0.35">
      <c r="A24" s="14" t="s">
        <v>73</v>
      </c>
      <c r="B24" s="2">
        <v>2014</v>
      </c>
      <c r="C24" s="2" t="s">
        <v>233</v>
      </c>
      <c r="D24" s="48">
        <v>120.1</v>
      </c>
    </row>
    <row r="25" spans="1:19" x14ac:dyDescent="0.35">
      <c r="A25" s="13" t="s">
        <v>73</v>
      </c>
      <c r="B25" s="3">
        <v>2014</v>
      </c>
      <c r="C25" s="3" t="s">
        <v>242</v>
      </c>
      <c r="D25" s="49">
        <v>119.4</v>
      </c>
    </row>
    <row r="26" spans="1:19" x14ac:dyDescent="0.35">
      <c r="A26" s="14" t="s">
        <v>73</v>
      </c>
      <c r="B26" s="2">
        <v>2015</v>
      </c>
      <c r="C26" s="2" t="s">
        <v>31</v>
      </c>
      <c r="D26" s="48">
        <v>119.5</v>
      </c>
    </row>
    <row r="27" spans="1:19" x14ac:dyDescent="0.35">
      <c r="A27" s="13" t="s">
        <v>73</v>
      </c>
      <c r="B27" s="3">
        <v>2015</v>
      </c>
      <c r="C27" s="3" t="s">
        <v>85</v>
      </c>
      <c r="D27" s="49">
        <v>119.7</v>
      </c>
    </row>
    <row r="28" spans="1:19" x14ac:dyDescent="0.35">
      <c r="A28" s="14" t="s">
        <v>73</v>
      </c>
      <c r="B28" s="2">
        <v>2015</v>
      </c>
      <c r="C28" s="2" t="s">
        <v>107</v>
      </c>
      <c r="D28" s="48">
        <v>120.2</v>
      </c>
    </row>
    <row r="29" spans="1:19" x14ac:dyDescent="0.35">
      <c r="A29" s="13" t="s">
        <v>73</v>
      </c>
      <c r="B29" s="3">
        <v>2015</v>
      </c>
      <c r="C29" s="3" t="s">
        <v>123</v>
      </c>
      <c r="D29" s="49">
        <v>120.7</v>
      </c>
    </row>
    <row r="30" spans="1:19" x14ac:dyDescent="0.35">
      <c r="A30" s="14" t="s">
        <v>73</v>
      </c>
      <c r="B30" s="2">
        <v>2015</v>
      </c>
      <c r="C30" s="2" t="s">
        <v>136</v>
      </c>
      <c r="D30" s="48">
        <v>121.6</v>
      </c>
    </row>
    <row r="31" spans="1:19" x14ac:dyDescent="0.35">
      <c r="A31" s="13" t="s">
        <v>73</v>
      </c>
      <c r="B31" s="3">
        <v>2015</v>
      </c>
      <c r="C31" s="3" t="s">
        <v>146</v>
      </c>
      <c r="D31" s="49">
        <v>123</v>
      </c>
    </row>
    <row r="32" spans="1:19" x14ac:dyDescent="0.35">
      <c r="A32" s="14" t="s">
        <v>73</v>
      </c>
      <c r="B32" s="2">
        <v>2015</v>
      </c>
      <c r="C32" s="2" t="s">
        <v>163</v>
      </c>
      <c r="D32" s="48">
        <v>123.6</v>
      </c>
    </row>
    <row r="33" spans="1:4" x14ac:dyDescent="0.35">
      <c r="A33" s="13" t="s">
        <v>73</v>
      </c>
      <c r="B33" s="3">
        <v>2015</v>
      </c>
      <c r="C33" s="3" t="s">
        <v>182</v>
      </c>
      <c r="D33" s="49">
        <v>124.8</v>
      </c>
    </row>
    <row r="34" spans="1:4" x14ac:dyDescent="0.35">
      <c r="A34" s="14" t="s">
        <v>73</v>
      </c>
      <c r="B34" s="2">
        <v>2015</v>
      </c>
      <c r="C34" s="2" t="s">
        <v>197</v>
      </c>
      <c r="D34" s="48">
        <v>125.4</v>
      </c>
    </row>
    <row r="35" spans="1:4" x14ac:dyDescent="0.35">
      <c r="A35" s="13" t="s">
        <v>73</v>
      </c>
      <c r="B35" s="3">
        <v>2015</v>
      </c>
      <c r="C35" s="3" t="s">
        <v>207</v>
      </c>
      <c r="D35" s="49">
        <v>126.1</v>
      </c>
    </row>
    <row r="36" spans="1:4" x14ac:dyDescent="0.35">
      <c r="A36" s="14" t="s">
        <v>73</v>
      </c>
      <c r="B36" s="2">
        <v>2015</v>
      </c>
      <c r="C36" s="2" t="s">
        <v>233</v>
      </c>
      <c r="D36" s="48">
        <v>126.6</v>
      </c>
    </row>
    <row r="37" spans="1:4" x14ac:dyDescent="0.35">
      <c r="A37" s="13" t="s">
        <v>73</v>
      </c>
      <c r="B37" s="3">
        <v>2015</v>
      </c>
      <c r="C37" s="3" t="s">
        <v>242</v>
      </c>
      <c r="D37" s="49">
        <v>126.1</v>
      </c>
    </row>
    <row r="38" spans="1:4" x14ac:dyDescent="0.35">
      <c r="A38" s="14" t="s">
        <v>73</v>
      </c>
      <c r="B38" s="2">
        <v>2016</v>
      </c>
      <c r="C38" s="2" t="s">
        <v>31</v>
      </c>
      <c r="D38" s="48">
        <v>126.3</v>
      </c>
    </row>
    <row r="39" spans="1:4" x14ac:dyDescent="0.35">
      <c r="A39" s="13" t="s">
        <v>73</v>
      </c>
      <c r="B39" s="3">
        <v>2016</v>
      </c>
      <c r="C39" s="3" t="s">
        <v>85</v>
      </c>
      <c r="D39" s="49">
        <v>126</v>
      </c>
    </row>
    <row r="40" spans="1:4" x14ac:dyDescent="0.35">
      <c r="A40" s="14" t="s">
        <v>73</v>
      </c>
      <c r="B40" s="2">
        <v>2016</v>
      </c>
      <c r="C40" s="2" t="s">
        <v>107</v>
      </c>
      <c r="D40" s="48">
        <v>126</v>
      </c>
    </row>
    <row r="41" spans="1:4" x14ac:dyDescent="0.35">
      <c r="A41" s="13" t="s">
        <v>73</v>
      </c>
      <c r="B41" s="3">
        <v>2016</v>
      </c>
      <c r="C41" s="3" t="s">
        <v>123</v>
      </c>
      <c r="D41" s="49">
        <v>127.3</v>
      </c>
    </row>
    <row r="42" spans="1:4" x14ac:dyDescent="0.35">
      <c r="A42" s="14" t="s">
        <v>73</v>
      </c>
      <c r="B42" s="2">
        <v>2016</v>
      </c>
      <c r="C42" s="2" t="s">
        <v>136</v>
      </c>
      <c r="D42" s="48">
        <v>128.6</v>
      </c>
    </row>
    <row r="43" spans="1:4" x14ac:dyDescent="0.35">
      <c r="A43" s="13" t="s">
        <v>73</v>
      </c>
      <c r="B43" s="3">
        <v>2016</v>
      </c>
      <c r="C43" s="3" t="s">
        <v>146</v>
      </c>
      <c r="D43" s="49">
        <v>130.1</v>
      </c>
    </row>
    <row r="44" spans="1:4" x14ac:dyDescent="0.35">
      <c r="A44" s="14" t="s">
        <v>73</v>
      </c>
      <c r="B44" s="2">
        <v>2016</v>
      </c>
      <c r="C44" s="2" t="s">
        <v>163</v>
      </c>
      <c r="D44" s="48">
        <v>131.1</v>
      </c>
    </row>
    <row r="45" spans="1:4" x14ac:dyDescent="0.35">
      <c r="A45" s="13" t="s">
        <v>73</v>
      </c>
      <c r="B45" s="3">
        <v>2016</v>
      </c>
      <c r="C45" s="3" t="s">
        <v>182</v>
      </c>
      <c r="D45" s="49">
        <v>131.1</v>
      </c>
    </row>
    <row r="46" spans="1:4" x14ac:dyDescent="0.35">
      <c r="A46" s="14" t="s">
        <v>73</v>
      </c>
      <c r="B46" s="2">
        <v>2016</v>
      </c>
      <c r="C46" s="2" t="s">
        <v>197</v>
      </c>
      <c r="D46" s="48">
        <v>130.9</v>
      </c>
    </row>
    <row r="47" spans="1:4" x14ac:dyDescent="0.35">
      <c r="A47" s="13" t="s">
        <v>73</v>
      </c>
      <c r="B47" s="3">
        <v>2016</v>
      </c>
      <c r="C47" s="3" t="s">
        <v>207</v>
      </c>
      <c r="D47" s="49">
        <v>131.4</v>
      </c>
    </row>
    <row r="48" spans="1:4" x14ac:dyDescent="0.35">
      <c r="A48" s="14" t="s">
        <v>73</v>
      </c>
      <c r="B48" s="2">
        <v>2016</v>
      </c>
      <c r="C48" s="2" t="s">
        <v>233</v>
      </c>
      <c r="D48" s="48">
        <v>131.19999999999999</v>
      </c>
    </row>
    <row r="49" spans="1:4" x14ac:dyDescent="0.35">
      <c r="A49" s="13" t="s">
        <v>73</v>
      </c>
      <c r="B49" s="3">
        <v>2016</v>
      </c>
      <c r="C49" s="3" t="s">
        <v>242</v>
      </c>
      <c r="D49" s="49">
        <v>130.4</v>
      </c>
    </row>
    <row r="50" spans="1:4" x14ac:dyDescent="0.35">
      <c r="A50" s="14" t="s">
        <v>73</v>
      </c>
      <c r="B50" s="2">
        <v>2017</v>
      </c>
      <c r="C50" s="2" t="s">
        <v>31</v>
      </c>
      <c r="D50" s="48">
        <v>130.30000000000001</v>
      </c>
    </row>
    <row r="51" spans="1:4" x14ac:dyDescent="0.35">
      <c r="A51" s="13" t="s">
        <v>73</v>
      </c>
      <c r="B51" s="3">
        <v>2017</v>
      </c>
      <c r="C51" s="3" t="s">
        <v>85</v>
      </c>
      <c r="D51" s="49">
        <v>130.6</v>
      </c>
    </row>
    <row r="52" spans="1:4" x14ac:dyDescent="0.35">
      <c r="A52" s="14" t="s">
        <v>73</v>
      </c>
      <c r="B52" s="2">
        <v>2017</v>
      </c>
      <c r="C52" s="2" t="s">
        <v>107</v>
      </c>
      <c r="D52" s="48">
        <v>130.9</v>
      </c>
    </row>
    <row r="53" spans="1:4" x14ac:dyDescent="0.35">
      <c r="A53" s="13" t="s">
        <v>73</v>
      </c>
      <c r="B53" s="3">
        <v>2017</v>
      </c>
      <c r="C53" s="3" t="s">
        <v>123</v>
      </c>
      <c r="D53" s="49">
        <v>131.1</v>
      </c>
    </row>
    <row r="54" spans="1:4" x14ac:dyDescent="0.35">
      <c r="A54" s="14" t="s">
        <v>73</v>
      </c>
      <c r="B54" s="2">
        <v>2017</v>
      </c>
      <c r="C54" s="2" t="s">
        <v>136</v>
      </c>
      <c r="D54" s="48">
        <v>131.4</v>
      </c>
    </row>
    <row r="55" spans="1:4" x14ac:dyDescent="0.35">
      <c r="A55" s="13" t="s">
        <v>73</v>
      </c>
      <c r="B55" s="3">
        <v>2017</v>
      </c>
      <c r="C55" s="3" t="s">
        <v>146</v>
      </c>
      <c r="D55" s="49">
        <v>132</v>
      </c>
    </row>
    <row r="56" spans="1:4" x14ac:dyDescent="0.35">
      <c r="A56" s="14" t="s">
        <v>73</v>
      </c>
      <c r="B56" s="2">
        <v>2017</v>
      </c>
      <c r="C56" s="2" t="s">
        <v>163</v>
      </c>
      <c r="D56" s="48">
        <v>134.19999999999999</v>
      </c>
    </row>
    <row r="57" spans="1:4" x14ac:dyDescent="0.35">
      <c r="A57" s="13" t="s">
        <v>73</v>
      </c>
      <c r="B57" s="3">
        <v>2017</v>
      </c>
      <c r="C57" s="3" t="s">
        <v>182</v>
      </c>
      <c r="D57" s="49">
        <v>135.4</v>
      </c>
    </row>
    <row r="58" spans="1:4" x14ac:dyDescent="0.35">
      <c r="A58" s="14" t="s">
        <v>73</v>
      </c>
      <c r="B58" s="2">
        <v>2017</v>
      </c>
      <c r="C58" s="2" t="s">
        <v>197</v>
      </c>
      <c r="D58" s="48">
        <v>135.19999999999999</v>
      </c>
    </row>
    <row r="59" spans="1:4" x14ac:dyDescent="0.35">
      <c r="A59" s="13" t="s">
        <v>73</v>
      </c>
      <c r="B59" s="3">
        <v>2017</v>
      </c>
      <c r="C59" s="3" t="s">
        <v>207</v>
      </c>
      <c r="D59" s="49">
        <v>136.1</v>
      </c>
    </row>
    <row r="60" spans="1:4" x14ac:dyDescent="0.35">
      <c r="A60" s="14" t="s">
        <v>73</v>
      </c>
      <c r="B60" s="2">
        <v>2017</v>
      </c>
      <c r="C60" s="2" t="s">
        <v>233</v>
      </c>
      <c r="D60" s="48">
        <v>137.6</v>
      </c>
    </row>
    <row r="61" spans="1:4" x14ac:dyDescent="0.35">
      <c r="A61" s="13" t="s">
        <v>73</v>
      </c>
      <c r="B61" s="3">
        <v>2017</v>
      </c>
      <c r="C61" s="3" t="s">
        <v>242</v>
      </c>
      <c r="D61" s="49">
        <v>137.19999999999999</v>
      </c>
    </row>
    <row r="62" spans="1:4" x14ac:dyDescent="0.35">
      <c r="A62" s="14" t="s">
        <v>73</v>
      </c>
      <c r="B62" s="2">
        <v>2018</v>
      </c>
      <c r="C62" s="2" t="s">
        <v>31</v>
      </c>
      <c r="D62" s="48">
        <v>136.9</v>
      </c>
    </row>
    <row r="63" spans="1:4" x14ac:dyDescent="0.35">
      <c r="A63" s="13" t="s">
        <v>73</v>
      </c>
      <c r="B63" s="3">
        <v>2018</v>
      </c>
      <c r="C63" s="3" t="s">
        <v>85</v>
      </c>
      <c r="D63" s="49">
        <v>136.4</v>
      </c>
    </row>
    <row r="64" spans="1:4" x14ac:dyDescent="0.35">
      <c r="A64" s="14" t="s">
        <v>73</v>
      </c>
      <c r="B64" s="2">
        <v>2018</v>
      </c>
      <c r="C64" s="2" t="s">
        <v>107</v>
      </c>
      <c r="D64" s="48">
        <v>136.5</v>
      </c>
    </row>
    <row r="65" spans="1:4" x14ac:dyDescent="0.35">
      <c r="A65" s="13" t="s">
        <v>73</v>
      </c>
      <c r="B65" s="3">
        <v>2018</v>
      </c>
      <c r="C65" s="3" t="s">
        <v>123</v>
      </c>
      <c r="D65" s="49">
        <v>137.1</v>
      </c>
    </row>
    <row r="66" spans="1:4" x14ac:dyDescent="0.35">
      <c r="A66" s="14" t="s">
        <v>73</v>
      </c>
      <c r="B66" s="2">
        <v>2018</v>
      </c>
      <c r="C66" s="2" t="s">
        <v>136</v>
      </c>
      <c r="D66" s="48">
        <v>137.80000000000001</v>
      </c>
    </row>
    <row r="67" spans="1:4" x14ac:dyDescent="0.35">
      <c r="A67" s="13" t="s">
        <v>73</v>
      </c>
      <c r="B67" s="3">
        <v>2018</v>
      </c>
      <c r="C67" s="3" t="s">
        <v>146</v>
      </c>
      <c r="D67" s="49">
        <v>138.5</v>
      </c>
    </row>
    <row r="68" spans="1:4" x14ac:dyDescent="0.35">
      <c r="A68" s="14" t="s">
        <v>73</v>
      </c>
      <c r="B68" s="2">
        <v>2018</v>
      </c>
      <c r="C68" s="2" t="s">
        <v>163</v>
      </c>
      <c r="D68" s="48">
        <v>139.80000000000001</v>
      </c>
    </row>
    <row r="69" spans="1:4" x14ac:dyDescent="0.35">
      <c r="A69" s="13" t="s">
        <v>73</v>
      </c>
      <c r="B69" s="3">
        <v>2018</v>
      </c>
      <c r="C69" s="3" t="s">
        <v>182</v>
      </c>
      <c r="D69" s="49">
        <v>140.4</v>
      </c>
    </row>
    <row r="70" spans="1:4" x14ac:dyDescent="0.35">
      <c r="A70" s="14" t="s">
        <v>73</v>
      </c>
      <c r="B70" s="2">
        <v>2018</v>
      </c>
      <c r="C70" s="2" t="s">
        <v>197</v>
      </c>
      <c r="D70" s="48">
        <v>140.19999999999999</v>
      </c>
    </row>
    <row r="71" spans="1:4" x14ac:dyDescent="0.35">
      <c r="A71" s="13" t="s">
        <v>73</v>
      </c>
      <c r="B71" s="3">
        <v>2018</v>
      </c>
      <c r="C71" s="3" t="s">
        <v>207</v>
      </c>
      <c r="D71" s="49">
        <v>140.80000000000001</v>
      </c>
    </row>
    <row r="72" spans="1:4" x14ac:dyDescent="0.35">
      <c r="A72" s="14" t="s">
        <v>73</v>
      </c>
      <c r="B72" s="2">
        <v>2018</v>
      </c>
      <c r="C72" s="2" t="s">
        <v>233</v>
      </c>
      <c r="D72" s="48">
        <v>140.80000000000001</v>
      </c>
    </row>
    <row r="73" spans="1:4" x14ac:dyDescent="0.35">
      <c r="A73" s="13" t="s">
        <v>73</v>
      </c>
      <c r="B73" s="3">
        <v>2018</v>
      </c>
      <c r="C73" s="3" t="s">
        <v>242</v>
      </c>
      <c r="D73" s="49">
        <v>140.1</v>
      </c>
    </row>
    <row r="74" spans="1:4" x14ac:dyDescent="0.35">
      <c r="A74" s="14" t="s">
        <v>73</v>
      </c>
      <c r="B74" s="2">
        <v>2019</v>
      </c>
      <c r="C74" s="2" t="s">
        <v>31</v>
      </c>
      <c r="D74" s="48">
        <v>139.6</v>
      </c>
    </row>
    <row r="75" spans="1:4" x14ac:dyDescent="0.35">
      <c r="A75" s="13" t="s">
        <v>73</v>
      </c>
      <c r="B75" s="3">
        <v>2019</v>
      </c>
      <c r="C75" s="3" t="s">
        <v>85</v>
      </c>
      <c r="D75" s="49">
        <v>139.9</v>
      </c>
    </row>
    <row r="76" spans="1:4" x14ac:dyDescent="0.35">
      <c r="A76" s="14" t="s">
        <v>73</v>
      </c>
      <c r="B76" s="2">
        <v>2019</v>
      </c>
      <c r="C76" s="2" t="s">
        <v>107</v>
      </c>
      <c r="D76" s="48">
        <v>140.4</v>
      </c>
    </row>
    <row r="77" spans="1:4" x14ac:dyDescent="0.35">
      <c r="A77" s="13" t="s">
        <v>73</v>
      </c>
      <c r="B77" s="3">
        <v>2019</v>
      </c>
      <c r="C77" s="3" t="s">
        <v>136</v>
      </c>
      <c r="D77" s="49">
        <v>142</v>
      </c>
    </row>
    <row r="78" spans="1:4" x14ac:dyDescent="0.35">
      <c r="A78" s="14" t="s">
        <v>73</v>
      </c>
      <c r="B78" s="2">
        <v>2019</v>
      </c>
      <c r="C78" s="2" t="s">
        <v>146</v>
      </c>
      <c r="D78" s="48">
        <v>142.9</v>
      </c>
    </row>
    <row r="79" spans="1:4" x14ac:dyDescent="0.35">
      <c r="A79" s="13" t="s">
        <v>73</v>
      </c>
      <c r="B79" s="3">
        <v>2019</v>
      </c>
      <c r="C79" s="3" t="s">
        <v>163</v>
      </c>
      <c r="D79" s="49">
        <v>144.19999999999999</v>
      </c>
    </row>
    <row r="80" spans="1:4" x14ac:dyDescent="0.35">
      <c r="A80" s="14" t="s">
        <v>73</v>
      </c>
      <c r="B80" s="2">
        <v>2019</v>
      </c>
      <c r="C80" s="2" t="s">
        <v>182</v>
      </c>
      <c r="D80" s="48">
        <v>145</v>
      </c>
    </row>
    <row r="81" spans="1:4" x14ac:dyDescent="0.35">
      <c r="A81" s="13" t="s">
        <v>73</v>
      </c>
      <c r="B81" s="3">
        <v>2019</v>
      </c>
      <c r="C81" s="3" t="s">
        <v>197</v>
      </c>
      <c r="D81" s="49">
        <v>145.80000000000001</v>
      </c>
    </row>
    <row r="82" spans="1:4" x14ac:dyDescent="0.35">
      <c r="A82" s="14" t="s">
        <v>73</v>
      </c>
      <c r="B82" s="2">
        <v>2019</v>
      </c>
      <c r="C82" s="2" t="s">
        <v>207</v>
      </c>
      <c r="D82" s="48">
        <v>147.19999999999999</v>
      </c>
    </row>
    <row r="83" spans="1:4" x14ac:dyDescent="0.35">
      <c r="A83" s="13" t="s">
        <v>73</v>
      </c>
      <c r="B83" s="3">
        <v>2019</v>
      </c>
      <c r="C83" s="3" t="s">
        <v>233</v>
      </c>
      <c r="D83" s="49">
        <v>148.6</v>
      </c>
    </row>
    <row r="84" spans="1:4" x14ac:dyDescent="0.35">
      <c r="A84" s="14" t="s">
        <v>73</v>
      </c>
      <c r="B84" s="2">
        <v>2019</v>
      </c>
      <c r="C84" s="2" t="s">
        <v>242</v>
      </c>
      <c r="D84" s="48">
        <v>150.4</v>
      </c>
    </row>
    <row r="85" spans="1:4" x14ac:dyDescent="0.35">
      <c r="A85" s="13" t="s">
        <v>73</v>
      </c>
      <c r="B85" s="3">
        <v>2020</v>
      </c>
      <c r="C85" s="3" t="s">
        <v>31</v>
      </c>
      <c r="D85" s="49">
        <v>150.19999999999999</v>
      </c>
    </row>
    <row r="86" spans="1:4" x14ac:dyDescent="0.35">
      <c r="A86" s="14" t="s">
        <v>73</v>
      </c>
      <c r="B86" s="2">
        <v>2020</v>
      </c>
      <c r="C86" s="2" t="s">
        <v>85</v>
      </c>
      <c r="D86" s="48">
        <v>149.1</v>
      </c>
    </row>
    <row r="87" spans="1:4" x14ac:dyDescent="0.35">
      <c r="A87" s="13" t="s">
        <v>73</v>
      </c>
      <c r="B87" s="3">
        <v>2020</v>
      </c>
      <c r="C87" s="3" t="s">
        <v>107</v>
      </c>
      <c r="D87" s="49">
        <v>148.6</v>
      </c>
    </row>
    <row r="88" spans="1:4" x14ac:dyDescent="0.35">
      <c r="A88" s="14" t="s">
        <v>73</v>
      </c>
      <c r="B88" s="2">
        <v>2020</v>
      </c>
      <c r="C88" s="2" t="s">
        <v>123</v>
      </c>
      <c r="D88" s="78">
        <v>148.11249999999998</v>
      </c>
    </row>
    <row r="89" spans="1:4" x14ac:dyDescent="0.35">
      <c r="A89" s="13" t="s">
        <v>73</v>
      </c>
      <c r="B89" s="3">
        <v>2020</v>
      </c>
      <c r="C89" s="3" t="s">
        <v>136</v>
      </c>
      <c r="D89" s="78">
        <v>148.17343749999998</v>
      </c>
    </row>
    <row r="90" spans="1:4" x14ac:dyDescent="0.35">
      <c r="A90" s="14" t="s">
        <v>73</v>
      </c>
      <c r="B90" s="2">
        <v>2020</v>
      </c>
      <c r="C90" s="2" t="s">
        <v>146</v>
      </c>
      <c r="D90" s="48">
        <v>151.80000000000001</v>
      </c>
    </row>
    <row r="91" spans="1:4" x14ac:dyDescent="0.35">
      <c r="A91" s="13" t="s">
        <v>73</v>
      </c>
      <c r="B91" s="3">
        <v>2020</v>
      </c>
      <c r="C91" s="3" t="s">
        <v>163</v>
      </c>
      <c r="D91" s="49">
        <v>151.80000000000001</v>
      </c>
    </row>
    <row r="92" spans="1:4" x14ac:dyDescent="0.35">
      <c r="A92" s="14" t="s">
        <v>73</v>
      </c>
      <c r="B92" s="2">
        <v>2020</v>
      </c>
      <c r="C92" s="2" t="s">
        <v>182</v>
      </c>
      <c r="D92" s="48">
        <v>153.9</v>
      </c>
    </row>
    <row r="93" spans="1:4" x14ac:dyDescent="0.35">
      <c r="A93" s="13" t="s">
        <v>73</v>
      </c>
      <c r="B93" s="3">
        <v>2020</v>
      </c>
      <c r="C93" s="3" t="s">
        <v>197</v>
      </c>
      <c r="D93" s="49">
        <v>154.69999999999999</v>
      </c>
    </row>
    <row r="94" spans="1:4" x14ac:dyDescent="0.35">
      <c r="A94" s="14" t="s">
        <v>73</v>
      </c>
      <c r="B94" s="2">
        <v>2020</v>
      </c>
      <c r="C94" s="2" t="s">
        <v>207</v>
      </c>
      <c r="D94" s="48">
        <v>156.4</v>
      </c>
    </row>
    <row r="95" spans="1:4" x14ac:dyDescent="0.35">
      <c r="A95" s="13" t="s">
        <v>73</v>
      </c>
      <c r="B95" s="3">
        <v>2020</v>
      </c>
      <c r="C95" s="3" t="s">
        <v>233</v>
      </c>
      <c r="D95" s="49">
        <v>158.4</v>
      </c>
    </row>
    <row r="96" spans="1:4" x14ac:dyDescent="0.35">
      <c r="A96" s="14" t="s">
        <v>73</v>
      </c>
      <c r="B96" s="2">
        <v>2020</v>
      </c>
      <c r="C96" s="2" t="s">
        <v>242</v>
      </c>
      <c r="D96" s="48">
        <v>158.9</v>
      </c>
    </row>
    <row r="97" spans="1:4" x14ac:dyDescent="0.35">
      <c r="A97" s="13" t="s">
        <v>73</v>
      </c>
      <c r="B97" s="3">
        <v>2021</v>
      </c>
      <c r="C97" s="3" t="s">
        <v>31</v>
      </c>
      <c r="D97" s="49">
        <v>157.30000000000001</v>
      </c>
    </row>
    <row r="98" spans="1:4" x14ac:dyDescent="0.35">
      <c r="A98" s="14" t="s">
        <v>73</v>
      </c>
      <c r="B98" s="2">
        <v>2021</v>
      </c>
      <c r="C98" s="2" t="s">
        <v>85</v>
      </c>
      <c r="D98" s="48">
        <v>156.6</v>
      </c>
    </row>
    <row r="99" spans="1:4" x14ac:dyDescent="0.35">
      <c r="A99" s="13" t="s">
        <v>73</v>
      </c>
      <c r="B99" s="3">
        <v>2021</v>
      </c>
      <c r="C99" s="3" t="s">
        <v>107</v>
      </c>
      <c r="D99" s="49">
        <v>156.80000000000001</v>
      </c>
    </row>
    <row r="100" spans="1:4" x14ac:dyDescent="0.35">
      <c r="A100" s="14" t="s">
        <v>73</v>
      </c>
      <c r="B100" s="2">
        <v>2021</v>
      </c>
      <c r="C100" s="2" t="s">
        <v>123</v>
      </c>
      <c r="D100" s="48">
        <v>157.80000000000001</v>
      </c>
    </row>
    <row r="101" spans="1:4" x14ac:dyDescent="0.35">
      <c r="A101" s="13" t="s">
        <v>73</v>
      </c>
      <c r="B101" s="3">
        <v>2021</v>
      </c>
      <c r="C101" s="3" t="s">
        <v>136</v>
      </c>
      <c r="D101" s="49">
        <v>160.4</v>
      </c>
    </row>
    <row r="102" spans="1:4" x14ac:dyDescent="0.35">
      <c r="A102" s="14" t="s">
        <v>73</v>
      </c>
      <c r="B102" s="2">
        <v>2021</v>
      </c>
      <c r="C102" s="2" t="s">
        <v>146</v>
      </c>
      <c r="D102" s="48">
        <v>161.30000000000001</v>
      </c>
    </row>
    <row r="103" spans="1:4" x14ac:dyDescent="0.35">
      <c r="A103" s="13" t="s">
        <v>73</v>
      </c>
      <c r="B103" s="3">
        <v>2021</v>
      </c>
      <c r="C103" s="3" t="s">
        <v>163</v>
      </c>
      <c r="D103" s="49">
        <v>162.5</v>
      </c>
    </row>
    <row r="104" spans="1:4" x14ac:dyDescent="0.35">
      <c r="A104" s="14" t="s">
        <v>73</v>
      </c>
      <c r="B104" s="2">
        <v>2021</v>
      </c>
      <c r="C104" s="2" t="s">
        <v>182</v>
      </c>
      <c r="D104" s="48">
        <v>163.19999999999999</v>
      </c>
    </row>
    <row r="105" spans="1:4" x14ac:dyDescent="0.35">
      <c r="A105" s="13" t="s">
        <v>73</v>
      </c>
      <c r="B105" s="3">
        <v>2021</v>
      </c>
      <c r="C105" s="3" t="s">
        <v>197</v>
      </c>
      <c r="D105" s="49">
        <v>163.19999999999999</v>
      </c>
    </row>
    <row r="106" spans="1:4" x14ac:dyDescent="0.35">
      <c r="A106" s="14" t="s">
        <v>73</v>
      </c>
      <c r="B106" s="2">
        <v>2021</v>
      </c>
      <c r="C106" s="2" t="s">
        <v>207</v>
      </c>
      <c r="D106" s="48">
        <v>165.5</v>
      </c>
    </row>
    <row r="107" spans="1:4" x14ac:dyDescent="0.35">
      <c r="A107" s="13" t="s">
        <v>73</v>
      </c>
      <c r="B107" s="3">
        <v>2021</v>
      </c>
      <c r="C107" s="3" t="s">
        <v>233</v>
      </c>
      <c r="D107" s="49">
        <v>166.7</v>
      </c>
    </row>
    <row r="108" spans="1:4" x14ac:dyDescent="0.35">
      <c r="A108" s="14" t="s">
        <v>73</v>
      </c>
      <c r="B108" s="2">
        <v>2021</v>
      </c>
      <c r="C108" s="2" t="s">
        <v>242</v>
      </c>
      <c r="D108" s="48">
        <v>166.2</v>
      </c>
    </row>
    <row r="109" spans="1:4" x14ac:dyDescent="0.35">
      <c r="A109" s="13" t="s">
        <v>73</v>
      </c>
      <c r="B109" s="3">
        <v>2022</v>
      </c>
      <c r="C109" s="3" t="s">
        <v>31</v>
      </c>
      <c r="D109" s="49">
        <v>165.7</v>
      </c>
    </row>
    <row r="110" spans="1:4" x14ac:dyDescent="0.35">
      <c r="A110" s="14" t="s">
        <v>73</v>
      </c>
      <c r="B110" s="2">
        <v>2022</v>
      </c>
      <c r="C110" s="2" t="s">
        <v>85</v>
      </c>
      <c r="D110" s="48">
        <v>166.1</v>
      </c>
    </row>
    <row r="111" spans="1:4" x14ac:dyDescent="0.35">
      <c r="A111" s="13" t="s">
        <v>73</v>
      </c>
      <c r="B111" s="3">
        <v>2022</v>
      </c>
      <c r="C111" s="3" t="s">
        <v>107</v>
      </c>
      <c r="D111" s="49">
        <v>167.7</v>
      </c>
    </row>
    <row r="112" spans="1:4" x14ac:dyDescent="0.35">
      <c r="A112" s="14" t="s">
        <v>73</v>
      </c>
      <c r="B112" s="2">
        <v>2022</v>
      </c>
      <c r="C112" s="2" t="s">
        <v>123</v>
      </c>
      <c r="D112" s="48">
        <v>170.1</v>
      </c>
    </row>
    <row r="113" spans="1:4" x14ac:dyDescent="0.35">
      <c r="A113" s="13" t="s">
        <v>73</v>
      </c>
      <c r="B113" s="3">
        <v>2022</v>
      </c>
      <c r="C113" s="3" t="s">
        <v>136</v>
      </c>
      <c r="D113" s="49">
        <v>171.7</v>
      </c>
    </row>
    <row r="114" spans="1:4" x14ac:dyDescent="0.35">
      <c r="A114" s="14" t="s">
        <v>73</v>
      </c>
      <c r="B114" s="2">
        <v>2022</v>
      </c>
      <c r="C114" s="2" t="s">
        <v>146</v>
      </c>
      <c r="D114" s="48">
        <v>172.6</v>
      </c>
    </row>
    <row r="115" spans="1:4" x14ac:dyDescent="0.35">
      <c r="A115" s="13" t="s">
        <v>73</v>
      </c>
      <c r="B115" s="3">
        <v>2022</v>
      </c>
      <c r="C115" s="3" t="s">
        <v>163</v>
      </c>
      <c r="D115" s="49">
        <v>173.4</v>
      </c>
    </row>
    <row r="116" spans="1:4" x14ac:dyDescent="0.35">
      <c r="A116" s="14" t="s">
        <v>73</v>
      </c>
      <c r="B116" s="2">
        <v>2022</v>
      </c>
      <c r="C116" s="2" t="s">
        <v>182</v>
      </c>
      <c r="D116" s="48">
        <v>174.3</v>
      </c>
    </row>
    <row r="117" spans="1:4" x14ac:dyDescent="0.35">
      <c r="A117" s="13" t="s">
        <v>73</v>
      </c>
      <c r="B117" s="3">
        <v>2022</v>
      </c>
      <c r="C117" s="3" t="s">
        <v>197</v>
      </c>
      <c r="D117" s="49">
        <v>175.3</v>
      </c>
    </row>
    <row r="118" spans="1:4" x14ac:dyDescent="0.35">
      <c r="A118" s="14" t="s">
        <v>73</v>
      </c>
      <c r="B118" s="2">
        <v>2022</v>
      </c>
      <c r="C118" s="2" t="s">
        <v>207</v>
      </c>
      <c r="D118" s="48">
        <v>176.7</v>
      </c>
    </row>
    <row r="119" spans="1:4" x14ac:dyDescent="0.35">
      <c r="A119" s="13" t="s">
        <v>73</v>
      </c>
      <c r="B119" s="3">
        <v>2022</v>
      </c>
      <c r="C119" s="3" t="s">
        <v>233</v>
      </c>
      <c r="D119" s="49">
        <v>176.5</v>
      </c>
    </row>
    <row r="120" spans="1:4" x14ac:dyDescent="0.35">
      <c r="A120" s="14" t="s">
        <v>73</v>
      </c>
      <c r="B120" s="2">
        <v>2022</v>
      </c>
      <c r="C120" s="2" t="s">
        <v>242</v>
      </c>
      <c r="D120" s="48">
        <v>175.7</v>
      </c>
    </row>
    <row r="121" spans="1:4" x14ac:dyDescent="0.35">
      <c r="A121" s="13" t="s">
        <v>73</v>
      </c>
      <c r="B121" s="3">
        <v>2023</v>
      </c>
      <c r="C121" s="3" t="s">
        <v>31</v>
      </c>
      <c r="D121" s="49">
        <v>176.5</v>
      </c>
    </row>
    <row r="122" spans="1:4" x14ac:dyDescent="0.35">
      <c r="A122" s="14" t="s">
        <v>73</v>
      </c>
      <c r="B122" s="2">
        <v>2023</v>
      </c>
      <c r="C122" s="2" t="s">
        <v>85</v>
      </c>
      <c r="D122" s="48">
        <v>177.2</v>
      </c>
    </row>
    <row r="123" spans="1:4" x14ac:dyDescent="0.35">
      <c r="A123" s="13" t="s">
        <v>73</v>
      </c>
      <c r="B123" s="3">
        <v>2023</v>
      </c>
      <c r="C123" s="3" t="s">
        <v>107</v>
      </c>
      <c r="D123" s="49">
        <v>177.2</v>
      </c>
    </row>
    <row r="124" spans="1:4" x14ac:dyDescent="0.35">
      <c r="A124" s="14" t="s">
        <v>73</v>
      </c>
      <c r="B124" s="2">
        <v>2023</v>
      </c>
      <c r="C124" s="2" t="s">
        <v>123</v>
      </c>
      <c r="D124" s="48">
        <v>178.1</v>
      </c>
    </row>
    <row r="125" spans="1:4" x14ac:dyDescent="0.35">
      <c r="A125" s="13" t="s">
        <v>73</v>
      </c>
      <c r="B125" s="3">
        <v>2023</v>
      </c>
      <c r="C125" s="3" t="s">
        <v>136</v>
      </c>
      <c r="D125" s="49">
        <v>179.1</v>
      </c>
    </row>
  </sheetData>
  <conditionalFormatting sqref="T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:T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D7E6-5C0B-4E6F-8A29-A4B655ED2BCE}">
  <dimension ref="A1:AG143"/>
  <sheetViews>
    <sheetView topLeftCell="A12" workbookViewId="0">
      <selection activeCell="B128" sqref="B128:B143"/>
    </sheetView>
  </sheetViews>
  <sheetFormatPr defaultRowHeight="14.5" x14ac:dyDescent="0.35"/>
  <cols>
    <col min="1" max="1" width="12.36328125" bestFit="1" customWidth="1"/>
    <col min="2" max="2" width="27.26953125" bestFit="1" customWidth="1"/>
    <col min="3" max="3" width="21.81640625" customWidth="1"/>
    <col min="4" max="4" width="13.36328125" customWidth="1"/>
    <col min="5" max="5" width="16" customWidth="1"/>
    <col min="6" max="6" width="21.26953125" customWidth="1"/>
    <col min="7" max="7" width="15.54296875" bestFit="1" customWidth="1"/>
    <col min="8" max="8" width="12.6328125" bestFit="1" customWidth="1"/>
    <col min="9" max="9" width="12.453125" bestFit="1" customWidth="1"/>
    <col min="10" max="10" width="6.36328125" bestFit="1" customWidth="1"/>
    <col min="11" max="11" width="12.453125" bestFit="1" customWidth="1"/>
    <col min="12" max="12" width="11" customWidth="1"/>
    <col min="13" max="13" width="13.90625" customWidth="1"/>
    <col min="14" max="14" width="27" customWidth="1"/>
    <col min="15" max="15" width="27.453125" customWidth="1"/>
    <col min="16" max="16" width="19.81640625" bestFit="1" customWidth="1"/>
    <col min="17" max="17" width="21.6328125" customWidth="1"/>
    <col min="18" max="18" width="13.90625" customWidth="1"/>
    <col min="19" max="19" width="19.81640625" bestFit="1" customWidth="1"/>
    <col min="20" max="20" width="10.90625" bestFit="1" customWidth="1"/>
    <col min="21" max="21" width="10.1796875" customWidth="1"/>
    <col min="22" max="22" width="10.90625" bestFit="1" customWidth="1"/>
    <col min="23" max="23" width="12.54296875" customWidth="1"/>
    <col min="24" max="24" width="10.90625" bestFit="1" customWidth="1"/>
    <col min="25" max="25" width="10.453125" customWidth="1"/>
    <col min="26" max="26" width="10.90625" bestFit="1" customWidth="1"/>
    <col min="27" max="34" width="6.81640625" bestFit="1" customWidth="1"/>
    <col min="35" max="35" width="4.81640625" bestFit="1" customWidth="1"/>
    <col min="36" max="41" width="6.81640625" bestFit="1" customWidth="1"/>
    <col min="42" max="42" width="4.81640625" bestFit="1" customWidth="1"/>
    <col min="43" max="58" width="6.81640625" bestFit="1" customWidth="1"/>
    <col min="59" max="59" width="4.81640625" bestFit="1" customWidth="1"/>
    <col min="60" max="64" width="6.81640625" bestFit="1" customWidth="1"/>
    <col min="65" max="65" width="4.81640625" bestFit="1" customWidth="1"/>
    <col min="66" max="93" width="6.81640625" bestFit="1" customWidth="1"/>
    <col min="94" max="94" width="4.81640625" bestFit="1" customWidth="1"/>
    <col min="95" max="97" width="6.81640625" bestFit="1" customWidth="1"/>
    <col min="98" max="98" width="4.81640625" bestFit="1" customWidth="1"/>
    <col min="99" max="101" width="6.81640625" bestFit="1" customWidth="1"/>
    <col min="102" max="102" width="4.81640625" bestFit="1" customWidth="1"/>
    <col min="103" max="103" width="6.81640625" bestFit="1" customWidth="1"/>
    <col min="104" max="104" width="4.81640625" bestFit="1" customWidth="1"/>
    <col min="105" max="114" width="6.81640625" bestFit="1" customWidth="1"/>
    <col min="115" max="115" width="4.81640625" bestFit="1" customWidth="1"/>
    <col min="116" max="117" width="6.81640625" bestFit="1" customWidth="1"/>
    <col min="118" max="118" width="4.81640625" bestFit="1" customWidth="1"/>
    <col min="119" max="125" width="6.81640625" bestFit="1" customWidth="1"/>
    <col min="126" max="126" width="4.81640625" bestFit="1" customWidth="1"/>
    <col min="127" max="138" width="6.81640625" bestFit="1" customWidth="1"/>
    <col min="139" max="139" width="4.81640625" bestFit="1" customWidth="1"/>
    <col min="140" max="145" width="6.81640625" bestFit="1" customWidth="1"/>
    <col min="146" max="146" width="4.81640625" bestFit="1" customWidth="1"/>
    <col min="147" max="158" width="6.81640625" bestFit="1" customWidth="1"/>
    <col min="159" max="159" width="4.81640625" bestFit="1" customWidth="1"/>
    <col min="160" max="167" width="6.81640625" bestFit="1" customWidth="1"/>
    <col min="168" max="168" width="4.81640625" bestFit="1" customWidth="1"/>
    <col min="169" max="172" width="6.81640625" bestFit="1" customWidth="1"/>
    <col min="173" max="173" width="4.81640625" bestFit="1" customWidth="1"/>
    <col min="174" max="178" width="6.81640625" bestFit="1" customWidth="1"/>
    <col min="179" max="179" width="4.81640625" bestFit="1" customWidth="1"/>
    <col min="180" max="230" width="6.81640625" bestFit="1" customWidth="1"/>
    <col min="231" max="231" width="4.81640625" bestFit="1" customWidth="1"/>
    <col min="232" max="240" width="6.81640625" bestFit="1" customWidth="1"/>
    <col min="241" max="241" width="4.81640625" bestFit="1" customWidth="1"/>
    <col min="242" max="243" width="6.81640625" bestFit="1" customWidth="1"/>
    <col min="244" max="244" width="4.81640625" bestFit="1" customWidth="1"/>
    <col min="245" max="249" width="6.81640625" bestFit="1" customWidth="1"/>
    <col min="250" max="250" width="4.81640625" bestFit="1" customWidth="1"/>
    <col min="251" max="285" width="6.81640625" bestFit="1" customWidth="1"/>
    <col min="286" max="286" width="4.81640625" bestFit="1" customWidth="1"/>
    <col min="287" max="287" width="6.81640625" bestFit="1" customWidth="1"/>
    <col min="288" max="288" width="4.81640625" bestFit="1" customWidth="1"/>
    <col min="289" max="291" width="6.81640625" bestFit="1" customWidth="1"/>
    <col min="292" max="292" width="4.81640625" bestFit="1" customWidth="1"/>
    <col min="293" max="300" width="6.81640625" bestFit="1" customWidth="1"/>
    <col min="301" max="301" width="4.81640625" bestFit="1" customWidth="1"/>
    <col min="302" max="310" width="6.81640625" bestFit="1" customWidth="1"/>
    <col min="311" max="311" width="4.81640625" bestFit="1" customWidth="1"/>
    <col min="312" max="314" width="6.81640625" bestFit="1" customWidth="1"/>
    <col min="315" max="315" width="4.81640625" bestFit="1" customWidth="1"/>
    <col min="316" max="321" width="6.81640625" bestFit="1" customWidth="1"/>
    <col min="322" max="322" width="4.81640625" bestFit="1" customWidth="1"/>
    <col min="323" max="323" width="6.81640625" bestFit="1" customWidth="1"/>
    <col min="324" max="324" width="4.81640625" bestFit="1" customWidth="1"/>
    <col min="325" max="332" width="6.81640625" bestFit="1" customWidth="1"/>
    <col min="333" max="333" width="4.81640625" bestFit="1" customWidth="1"/>
    <col min="334" max="340" width="6.81640625" bestFit="1" customWidth="1"/>
    <col min="341" max="341" width="4.81640625" bestFit="1" customWidth="1"/>
    <col min="342" max="342" width="6.81640625" bestFit="1" customWidth="1"/>
    <col min="343" max="343" width="4.81640625" bestFit="1" customWidth="1"/>
    <col min="344" max="364" width="6.81640625" bestFit="1" customWidth="1"/>
    <col min="365" max="365" width="4.81640625" bestFit="1" customWidth="1"/>
    <col min="366" max="368" width="6.81640625" bestFit="1" customWidth="1"/>
    <col min="369" max="369" width="10.7265625" bestFit="1" customWidth="1"/>
    <col min="370" max="370" width="8.6328125" bestFit="1" customWidth="1"/>
    <col min="371" max="371" width="11.08984375" bestFit="1" customWidth="1"/>
    <col min="372" max="372" width="8.6328125" bestFit="1" customWidth="1"/>
    <col min="373" max="373" width="11.08984375" bestFit="1" customWidth="1"/>
    <col min="374" max="374" width="8.6328125" bestFit="1" customWidth="1"/>
    <col min="375" max="375" width="11.08984375" bestFit="1" customWidth="1"/>
    <col min="376" max="376" width="8.6328125" bestFit="1" customWidth="1"/>
    <col min="377" max="377" width="11.08984375" bestFit="1" customWidth="1"/>
    <col min="378" max="378" width="8.6328125" bestFit="1" customWidth="1"/>
    <col min="379" max="379" width="11.08984375" bestFit="1" customWidth="1"/>
    <col min="380" max="380" width="8.6328125" bestFit="1" customWidth="1"/>
    <col min="381" max="381" width="11.08984375" bestFit="1" customWidth="1"/>
    <col min="382" max="382" width="8.6328125" bestFit="1" customWidth="1"/>
    <col min="383" max="383" width="11.08984375" bestFit="1" customWidth="1"/>
    <col min="384" max="384" width="8.6328125" bestFit="1" customWidth="1"/>
    <col min="385" max="385" width="11.08984375" bestFit="1" customWidth="1"/>
    <col min="386" max="386" width="8.6328125" bestFit="1" customWidth="1"/>
    <col min="387" max="387" width="11.08984375" bestFit="1" customWidth="1"/>
    <col min="388" max="388" width="8.6328125" bestFit="1" customWidth="1"/>
    <col min="389" max="389" width="11.08984375" bestFit="1" customWidth="1"/>
    <col min="390" max="390" width="8.6328125" bestFit="1" customWidth="1"/>
    <col min="391" max="391" width="11.08984375" bestFit="1" customWidth="1"/>
    <col min="392" max="392" width="8.6328125" bestFit="1" customWidth="1"/>
    <col min="393" max="393" width="11.08984375" bestFit="1" customWidth="1"/>
    <col min="394" max="394" width="8.6328125" bestFit="1" customWidth="1"/>
    <col min="395" max="395" width="11.08984375" bestFit="1" customWidth="1"/>
    <col min="396" max="396" width="8.6328125" bestFit="1" customWidth="1"/>
    <col min="397" max="397" width="11.08984375" bestFit="1" customWidth="1"/>
    <col min="398" max="398" width="8.6328125" bestFit="1" customWidth="1"/>
    <col min="399" max="399" width="11.08984375" bestFit="1" customWidth="1"/>
    <col min="400" max="400" width="8.6328125" bestFit="1" customWidth="1"/>
    <col min="401" max="401" width="11.08984375" bestFit="1" customWidth="1"/>
    <col min="402" max="402" width="8.6328125" bestFit="1" customWidth="1"/>
    <col min="403" max="403" width="11.08984375" bestFit="1" customWidth="1"/>
    <col min="404" max="404" width="8.6328125" bestFit="1" customWidth="1"/>
    <col min="405" max="405" width="11.08984375" bestFit="1" customWidth="1"/>
    <col min="406" max="406" width="8.6328125" bestFit="1" customWidth="1"/>
    <col min="407" max="407" width="11.08984375" bestFit="1" customWidth="1"/>
    <col min="408" max="408" width="8.6328125" bestFit="1" customWidth="1"/>
    <col min="409" max="409" width="11.08984375" bestFit="1" customWidth="1"/>
    <col min="410" max="410" width="8.6328125" bestFit="1" customWidth="1"/>
    <col min="411" max="411" width="11.08984375" bestFit="1" customWidth="1"/>
    <col min="412" max="412" width="8.6328125" bestFit="1" customWidth="1"/>
    <col min="413" max="413" width="11.08984375" bestFit="1" customWidth="1"/>
    <col min="414" max="414" width="8.6328125" bestFit="1" customWidth="1"/>
    <col min="415" max="415" width="11.08984375" bestFit="1" customWidth="1"/>
    <col min="416" max="416" width="8.6328125" bestFit="1" customWidth="1"/>
    <col min="417" max="417" width="11.08984375" bestFit="1" customWidth="1"/>
    <col min="418" max="418" width="8.6328125" bestFit="1" customWidth="1"/>
    <col min="419" max="419" width="11.08984375" bestFit="1" customWidth="1"/>
    <col min="420" max="420" width="8.6328125" bestFit="1" customWidth="1"/>
    <col min="421" max="421" width="11.08984375" bestFit="1" customWidth="1"/>
    <col min="422" max="422" width="8.6328125" bestFit="1" customWidth="1"/>
    <col min="423" max="423" width="11.08984375" bestFit="1" customWidth="1"/>
    <col min="424" max="424" width="8.6328125" bestFit="1" customWidth="1"/>
    <col min="425" max="425" width="11.08984375" bestFit="1" customWidth="1"/>
    <col min="426" max="426" width="8.6328125" bestFit="1" customWidth="1"/>
    <col min="427" max="427" width="11.08984375" bestFit="1" customWidth="1"/>
    <col min="428" max="428" width="8.6328125" bestFit="1" customWidth="1"/>
    <col min="429" max="429" width="11.08984375" bestFit="1" customWidth="1"/>
    <col min="430" max="430" width="8.6328125" bestFit="1" customWidth="1"/>
    <col min="431" max="431" width="11.08984375" bestFit="1" customWidth="1"/>
    <col min="432" max="432" width="8.6328125" bestFit="1" customWidth="1"/>
    <col min="433" max="433" width="11.08984375" bestFit="1" customWidth="1"/>
    <col min="434" max="434" width="8.6328125" bestFit="1" customWidth="1"/>
    <col min="435" max="435" width="11.08984375" bestFit="1" customWidth="1"/>
    <col min="436" max="436" width="8.6328125" bestFit="1" customWidth="1"/>
    <col min="437" max="437" width="11.08984375" bestFit="1" customWidth="1"/>
    <col min="438" max="438" width="8.6328125" bestFit="1" customWidth="1"/>
    <col min="439" max="439" width="11.08984375" bestFit="1" customWidth="1"/>
    <col min="440" max="440" width="8.6328125" bestFit="1" customWidth="1"/>
    <col min="441" max="441" width="11.08984375" bestFit="1" customWidth="1"/>
    <col min="442" max="442" width="8.6328125" bestFit="1" customWidth="1"/>
    <col min="443" max="443" width="11.08984375" bestFit="1" customWidth="1"/>
    <col min="444" max="444" width="8.6328125" bestFit="1" customWidth="1"/>
    <col min="445" max="445" width="11.08984375" bestFit="1" customWidth="1"/>
    <col min="446" max="446" width="8.6328125" bestFit="1" customWidth="1"/>
    <col min="447" max="447" width="11.08984375" bestFit="1" customWidth="1"/>
    <col min="448" max="448" width="8.6328125" bestFit="1" customWidth="1"/>
    <col min="449" max="449" width="11.08984375" bestFit="1" customWidth="1"/>
    <col min="450" max="450" width="8.6328125" bestFit="1" customWidth="1"/>
    <col min="451" max="451" width="11.08984375" bestFit="1" customWidth="1"/>
    <col min="452" max="452" width="8.6328125" bestFit="1" customWidth="1"/>
    <col min="453" max="453" width="11.08984375" bestFit="1" customWidth="1"/>
    <col min="454" max="454" width="6.6328125" bestFit="1" customWidth="1"/>
    <col min="455" max="455" width="9.54296875" bestFit="1" customWidth="1"/>
    <col min="456" max="456" width="8.6328125" bestFit="1" customWidth="1"/>
    <col min="457" max="457" width="11.08984375" bestFit="1" customWidth="1"/>
    <col min="458" max="458" width="8.6328125" bestFit="1" customWidth="1"/>
    <col min="459" max="459" width="11.08984375" bestFit="1" customWidth="1"/>
    <col min="460" max="460" width="8.6328125" bestFit="1" customWidth="1"/>
    <col min="461" max="461" width="11.08984375" bestFit="1" customWidth="1"/>
    <col min="462" max="462" width="8.6328125" bestFit="1" customWidth="1"/>
    <col min="463" max="463" width="11.08984375" bestFit="1" customWidth="1"/>
    <col min="464" max="464" width="8.6328125" bestFit="1" customWidth="1"/>
    <col min="465" max="465" width="11.08984375" bestFit="1" customWidth="1"/>
    <col min="466" max="466" width="8.6328125" bestFit="1" customWidth="1"/>
    <col min="467" max="467" width="11.08984375" bestFit="1" customWidth="1"/>
    <col min="468" max="468" width="8.6328125" bestFit="1" customWidth="1"/>
    <col min="469" max="469" width="11.08984375" bestFit="1" customWidth="1"/>
    <col min="470" max="470" width="8.6328125" bestFit="1" customWidth="1"/>
    <col min="471" max="471" width="11.08984375" bestFit="1" customWidth="1"/>
    <col min="472" max="472" width="8.6328125" bestFit="1" customWidth="1"/>
    <col min="473" max="473" width="11.08984375" bestFit="1" customWidth="1"/>
    <col min="474" max="474" width="6.6328125" bestFit="1" customWidth="1"/>
    <col min="475" max="475" width="9.54296875" bestFit="1" customWidth="1"/>
    <col min="476" max="476" width="8.6328125" bestFit="1" customWidth="1"/>
    <col min="477" max="477" width="11.08984375" bestFit="1" customWidth="1"/>
    <col min="478" max="478" width="8.6328125" bestFit="1" customWidth="1"/>
    <col min="479" max="479" width="11.08984375" bestFit="1" customWidth="1"/>
    <col min="480" max="480" width="6.6328125" bestFit="1" customWidth="1"/>
    <col min="481" max="481" width="9.54296875" bestFit="1" customWidth="1"/>
    <col min="482" max="482" width="8.6328125" bestFit="1" customWidth="1"/>
    <col min="483" max="483" width="11.08984375" bestFit="1" customWidth="1"/>
    <col min="484" max="484" width="8.6328125" bestFit="1" customWidth="1"/>
    <col min="485" max="485" width="11.08984375" bestFit="1" customWidth="1"/>
    <col min="486" max="486" width="8.6328125" bestFit="1" customWidth="1"/>
    <col min="487" max="487" width="11.08984375" bestFit="1" customWidth="1"/>
    <col min="488" max="488" width="8.6328125" bestFit="1" customWidth="1"/>
    <col min="489" max="489" width="11.08984375" bestFit="1" customWidth="1"/>
    <col min="490" max="490" width="8.6328125" bestFit="1" customWidth="1"/>
    <col min="491" max="491" width="11.08984375" bestFit="1" customWidth="1"/>
    <col min="492" max="492" width="6.6328125" bestFit="1" customWidth="1"/>
    <col min="493" max="493" width="9.54296875" bestFit="1" customWidth="1"/>
    <col min="494" max="494" width="8.6328125" bestFit="1" customWidth="1"/>
    <col min="495" max="495" width="11.08984375" bestFit="1" customWidth="1"/>
    <col min="496" max="496" width="8.6328125" bestFit="1" customWidth="1"/>
    <col min="497" max="497" width="11.08984375" bestFit="1" customWidth="1"/>
    <col min="498" max="498" width="8.6328125" bestFit="1" customWidth="1"/>
    <col min="499" max="499" width="11.08984375" bestFit="1" customWidth="1"/>
    <col min="500" max="500" width="8.6328125" bestFit="1" customWidth="1"/>
    <col min="501" max="501" width="11.08984375" bestFit="1" customWidth="1"/>
    <col min="502" max="502" width="8.6328125" bestFit="1" customWidth="1"/>
    <col min="503" max="503" width="11.08984375" bestFit="1" customWidth="1"/>
    <col min="504" max="504" width="8.6328125" bestFit="1" customWidth="1"/>
    <col min="505" max="505" width="5.81640625" bestFit="1" customWidth="1"/>
    <col min="506" max="506" width="11.08984375" bestFit="1" customWidth="1"/>
    <col min="507" max="507" width="8.6328125" bestFit="1" customWidth="1"/>
    <col min="508" max="508" width="11.08984375" bestFit="1" customWidth="1"/>
    <col min="509" max="509" width="8.6328125" bestFit="1" customWidth="1"/>
    <col min="510" max="510" width="11.08984375" bestFit="1" customWidth="1"/>
    <col min="511" max="511" width="8.6328125" bestFit="1" customWidth="1"/>
    <col min="512" max="512" width="11.08984375" bestFit="1" customWidth="1"/>
    <col min="513" max="513" width="8.6328125" bestFit="1" customWidth="1"/>
    <col min="514" max="514" width="11.08984375" bestFit="1" customWidth="1"/>
    <col min="515" max="515" width="8.6328125" bestFit="1" customWidth="1"/>
    <col min="516" max="516" width="11.08984375" bestFit="1" customWidth="1"/>
    <col min="517" max="517" width="8.6328125" bestFit="1" customWidth="1"/>
    <col min="518" max="518" width="11.08984375" bestFit="1" customWidth="1"/>
    <col min="519" max="519" width="8.6328125" bestFit="1" customWidth="1"/>
    <col min="520" max="520" width="11.08984375" bestFit="1" customWidth="1"/>
    <col min="521" max="521" width="8.6328125" bestFit="1" customWidth="1"/>
    <col min="522" max="522" width="11.08984375" bestFit="1" customWidth="1"/>
    <col min="523" max="523" width="8.6328125" bestFit="1" customWidth="1"/>
    <col min="524" max="524" width="11.08984375" bestFit="1" customWidth="1"/>
    <col min="525" max="525" width="8.6328125" bestFit="1" customWidth="1"/>
    <col min="526" max="526" width="11.08984375" bestFit="1" customWidth="1"/>
    <col min="527" max="527" width="8.6328125" bestFit="1" customWidth="1"/>
    <col min="528" max="528" width="11.08984375" bestFit="1" customWidth="1"/>
    <col min="529" max="529" width="8.6328125" bestFit="1" customWidth="1"/>
    <col min="530" max="530" width="11.08984375" bestFit="1" customWidth="1"/>
    <col min="531" max="531" width="8.6328125" bestFit="1" customWidth="1"/>
    <col min="532" max="532" width="11.08984375" bestFit="1" customWidth="1"/>
    <col min="533" max="533" width="8.6328125" bestFit="1" customWidth="1"/>
    <col min="534" max="534" width="11.08984375" bestFit="1" customWidth="1"/>
    <col min="535" max="535" width="8.6328125" bestFit="1" customWidth="1"/>
    <col min="536" max="536" width="11.08984375" bestFit="1" customWidth="1"/>
    <col min="537" max="537" width="8.6328125" bestFit="1" customWidth="1"/>
    <col min="538" max="538" width="11.08984375" bestFit="1" customWidth="1"/>
    <col min="539" max="539" width="8.6328125" bestFit="1" customWidth="1"/>
    <col min="540" max="540" width="11.08984375" bestFit="1" customWidth="1"/>
    <col min="541" max="541" width="8.6328125" bestFit="1" customWidth="1"/>
    <col min="542" max="542" width="11.08984375" bestFit="1" customWidth="1"/>
    <col min="543" max="543" width="8.6328125" bestFit="1" customWidth="1"/>
    <col min="544" max="544" width="11.08984375" bestFit="1" customWidth="1"/>
    <col min="545" max="545" width="8.6328125" bestFit="1" customWidth="1"/>
    <col min="546" max="546" width="5.81640625" bestFit="1" customWidth="1"/>
    <col min="547" max="547" width="11.08984375" bestFit="1" customWidth="1"/>
    <col min="548" max="548" width="8.6328125" bestFit="1" customWidth="1"/>
    <col min="549" max="549" width="11.08984375" bestFit="1" customWidth="1"/>
    <col min="550" max="550" width="8.6328125" bestFit="1" customWidth="1"/>
    <col min="551" max="551" width="11.08984375" bestFit="1" customWidth="1"/>
    <col min="552" max="552" width="8.6328125" bestFit="1" customWidth="1"/>
    <col min="553" max="553" width="11.08984375" bestFit="1" customWidth="1"/>
    <col min="554" max="554" width="8.6328125" bestFit="1" customWidth="1"/>
    <col min="555" max="555" width="11.08984375" bestFit="1" customWidth="1"/>
    <col min="556" max="556" width="8.6328125" bestFit="1" customWidth="1"/>
    <col min="557" max="557" width="11.08984375" bestFit="1" customWidth="1"/>
    <col min="558" max="558" width="8.6328125" bestFit="1" customWidth="1"/>
    <col min="559" max="559" width="11.08984375" bestFit="1" customWidth="1"/>
    <col min="560" max="560" width="8.6328125" bestFit="1" customWidth="1"/>
    <col min="561" max="561" width="11.08984375" bestFit="1" customWidth="1"/>
    <col min="562" max="562" width="8.6328125" bestFit="1" customWidth="1"/>
    <col min="563" max="563" width="11.08984375" bestFit="1" customWidth="1"/>
    <col min="564" max="564" width="8.6328125" bestFit="1" customWidth="1"/>
    <col min="565" max="565" width="11.08984375" bestFit="1" customWidth="1"/>
    <col min="566" max="566" width="6.6328125" bestFit="1" customWidth="1"/>
    <col min="567" max="567" width="9.54296875" bestFit="1" customWidth="1"/>
    <col min="568" max="568" width="8.6328125" bestFit="1" customWidth="1"/>
    <col min="569" max="569" width="11.08984375" bestFit="1" customWidth="1"/>
    <col min="570" max="570" width="6.6328125" bestFit="1" customWidth="1"/>
    <col min="571" max="571" width="9.54296875" bestFit="1" customWidth="1"/>
    <col min="572" max="572" width="8.6328125" bestFit="1" customWidth="1"/>
    <col min="573" max="573" width="11.08984375" bestFit="1" customWidth="1"/>
    <col min="574" max="574" width="8.6328125" bestFit="1" customWidth="1"/>
    <col min="575" max="575" width="11.08984375" bestFit="1" customWidth="1"/>
    <col min="576" max="576" width="8.6328125" bestFit="1" customWidth="1"/>
    <col min="577" max="577" width="11.08984375" bestFit="1" customWidth="1"/>
    <col min="578" max="578" width="6.6328125" bestFit="1" customWidth="1"/>
    <col min="579" max="579" width="9.54296875" bestFit="1" customWidth="1"/>
    <col min="580" max="580" width="8.6328125" bestFit="1" customWidth="1"/>
    <col min="581" max="581" width="11.08984375" bestFit="1" customWidth="1"/>
    <col min="582" max="582" width="8.6328125" bestFit="1" customWidth="1"/>
    <col min="583" max="583" width="11.08984375" bestFit="1" customWidth="1"/>
    <col min="584" max="584" width="8.6328125" bestFit="1" customWidth="1"/>
    <col min="585" max="585" width="11.08984375" bestFit="1" customWidth="1"/>
    <col min="586" max="586" width="8.6328125" bestFit="1" customWidth="1"/>
    <col min="587" max="587" width="11.08984375" bestFit="1" customWidth="1"/>
    <col min="588" max="588" width="8.6328125" bestFit="1" customWidth="1"/>
    <col min="589" max="589" width="11.08984375" bestFit="1" customWidth="1"/>
    <col min="590" max="590" width="8.6328125" bestFit="1" customWidth="1"/>
    <col min="591" max="591" width="11.08984375" bestFit="1" customWidth="1"/>
    <col min="592" max="592" width="8.6328125" bestFit="1" customWidth="1"/>
    <col min="593" max="593" width="11.08984375" bestFit="1" customWidth="1"/>
    <col min="594" max="594" width="8.6328125" bestFit="1" customWidth="1"/>
    <col min="595" max="595" width="11.08984375" bestFit="1" customWidth="1"/>
    <col min="596" max="596" width="6.6328125" bestFit="1" customWidth="1"/>
    <col min="597" max="597" width="9.54296875" bestFit="1" customWidth="1"/>
    <col min="598" max="598" width="8.6328125" bestFit="1" customWidth="1"/>
    <col min="599" max="599" width="11.08984375" bestFit="1" customWidth="1"/>
    <col min="600" max="600" width="8.6328125" bestFit="1" customWidth="1"/>
    <col min="601" max="601" width="11.08984375" bestFit="1" customWidth="1"/>
    <col min="602" max="602" width="8.6328125" bestFit="1" customWidth="1"/>
    <col min="603" max="603" width="11.08984375" bestFit="1" customWidth="1"/>
    <col min="604" max="604" width="8.6328125" bestFit="1" customWidth="1"/>
    <col min="605" max="605" width="11.08984375" bestFit="1" customWidth="1"/>
    <col min="606" max="606" width="8.6328125" bestFit="1" customWidth="1"/>
    <col min="607" max="607" width="5.81640625" bestFit="1" customWidth="1"/>
    <col min="608" max="608" width="11.08984375" bestFit="1" customWidth="1"/>
    <col min="609" max="609" width="8.6328125" bestFit="1" customWidth="1"/>
    <col min="610" max="610" width="11.08984375" bestFit="1" customWidth="1"/>
    <col min="611" max="611" width="8.6328125" bestFit="1" customWidth="1"/>
    <col min="612" max="612" width="11.08984375" bestFit="1" customWidth="1"/>
    <col min="613" max="613" width="8.6328125" bestFit="1" customWidth="1"/>
    <col min="614" max="614" width="11.08984375" bestFit="1" customWidth="1"/>
    <col min="615" max="615" width="8.6328125" bestFit="1" customWidth="1"/>
    <col min="616" max="616" width="11.08984375" bestFit="1" customWidth="1"/>
    <col min="617" max="617" width="6.6328125" bestFit="1" customWidth="1"/>
    <col min="618" max="618" width="9.54296875" bestFit="1" customWidth="1"/>
    <col min="619" max="619" width="8.6328125" bestFit="1" customWidth="1"/>
    <col min="620" max="620" width="5.81640625" bestFit="1" customWidth="1"/>
    <col min="621" max="621" width="11.08984375" bestFit="1" customWidth="1"/>
    <col min="622" max="622" width="8.6328125" bestFit="1" customWidth="1"/>
    <col min="623" max="623" width="11.08984375" bestFit="1" customWidth="1"/>
    <col min="624" max="624" width="8.6328125" bestFit="1" customWidth="1"/>
    <col min="625" max="625" width="11.08984375" bestFit="1" customWidth="1"/>
    <col min="626" max="626" width="6.6328125" bestFit="1" customWidth="1"/>
    <col min="627" max="627" width="9.54296875" bestFit="1" customWidth="1"/>
    <col min="628" max="628" width="8.6328125" bestFit="1" customWidth="1"/>
    <col min="629" max="629" width="11.08984375" bestFit="1" customWidth="1"/>
    <col min="630" max="630" width="8.6328125" bestFit="1" customWidth="1"/>
    <col min="631" max="631" width="11.08984375" bestFit="1" customWidth="1"/>
    <col min="632" max="632" width="8.6328125" bestFit="1" customWidth="1"/>
    <col min="633" max="633" width="11.08984375" bestFit="1" customWidth="1"/>
    <col min="634" max="634" width="8.6328125" bestFit="1" customWidth="1"/>
    <col min="635" max="635" width="11.08984375" bestFit="1" customWidth="1"/>
    <col min="636" max="636" width="8.6328125" bestFit="1" customWidth="1"/>
    <col min="637" max="637" width="11.08984375" bestFit="1" customWidth="1"/>
    <col min="638" max="638" width="8.6328125" bestFit="1" customWidth="1"/>
    <col min="639" max="639" width="11.08984375" bestFit="1" customWidth="1"/>
    <col min="640" max="640" width="6.6328125" bestFit="1" customWidth="1"/>
    <col min="641" max="641" width="9.54296875" bestFit="1" customWidth="1"/>
    <col min="642" max="642" width="8.6328125" bestFit="1" customWidth="1"/>
    <col min="643" max="643" width="11.08984375" bestFit="1" customWidth="1"/>
    <col min="644" max="644" width="6.6328125" bestFit="1" customWidth="1"/>
    <col min="645" max="645" width="9.54296875" bestFit="1" customWidth="1"/>
    <col min="646" max="646" width="8.6328125" bestFit="1" customWidth="1"/>
    <col min="647" max="647" width="11.08984375" bestFit="1" customWidth="1"/>
    <col min="648" max="648" width="8.6328125" bestFit="1" customWidth="1"/>
    <col min="649" max="649" width="11.08984375" bestFit="1" customWidth="1"/>
    <col min="650" max="650" width="8.6328125" bestFit="1" customWidth="1"/>
    <col min="651" max="651" width="11.08984375" bestFit="1" customWidth="1"/>
    <col min="652" max="652" width="8.6328125" bestFit="1" customWidth="1"/>
    <col min="653" max="653" width="11.08984375" bestFit="1" customWidth="1"/>
    <col min="654" max="654" width="8.6328125" bestFit="1" customWidth="1"/>
    <col min="655" max="655" width="11.08984375" bestFit="1" customWidth="1"/>
    <col min="656" max="656" width="8.6328125" bestFit="1" customWidth="1"/>
    <col min="657" max="657" width="11.08984375" bestFit="1" customWidth="1"/>
    <col min="658" max="658" width="8.6328125" bestFit="1" customWidth="1"/>
    <col min="659" max="659" width="11.08984375" bestFit="1" customWidth="1"/>
    <col min="660" max="660" width="8.6328125" bestFit="1" customWidth="1"/>
    <col min="661" max="661" width="11.08984375" bestFit="1" customWidth="1"/>
    <col min="662" max="662" width="6.6328125" bestFit="1" customWidth="1"/>
    <col min="663" max="663" width="9.54296875" bestFit="1" customWidth="1"/>
    <col min="664" max="664" width="8.6328125" bestFit="1" customWidth="1"/>
    <col min="665" max="665" width="11.08984375" bestFit="1" customWidth="1"/>
    <col min="666" max="666" width="8.6328125" bestFit="1" customWidth="1"/>
    <col min="667" max="667" width="11.08984375" bestFit="1" customWidth="1"/>
    <col min="668" max="668" width="8.6328125" bestFit="1" customWidth="1"/>
    <col min="669" max="669" width="11.08984375" bestFit="1" customWidth="1"/>
    <col min="670" max="670" width="8.6328125" bestFit="1" customWidth="1"/>
    <col min="671" max="671" width="11.08984375" bestFit="1" customWidth="1"/>
    <col min="672" max="672" width="8.6328125" bestFit="1" customWidth="1"/>
    <col min="673" max="673" width="11.08984375" bestFit="1" customWidth="1"/>
    <col min="674" max="674" width="8.6328125" bestFit="1" customWidth="1"/>
    <col min="675" max="675" width="11.08984375" bestFit="1" customWidth="1"/>
    <col min="676" max="676" width="8.6328125" bestFit="1" customWidth="1"/>
    <col min="677" max="677" width="11.08984375" bestFit="1" customWidth="1"/>
    <col min="678" max="678" width="6.6328125" bestFit="1" customWidth="1"/>
    <col min="679" max="679" width="9.54296875" bestFit="1" customWidth="1"/>
    <col min="680" max="680" width="8.6328125" bestFit="1" customWidth="1"/>
    <col min="681" max="681" width="5.81640625" bestFit="1" customWidth="1"/>
    <col min="682" max="682" width="11.08984375" bestFit="1" customWidth="1"/>
    <col min="683" max="683" width="6.6328125" bestFit="1" customWidth="1"/>
    <col min="684" max="684" width="9.54296875" bestFit="1" customWidth="1"/>
    <col min="685" max="685" width="8.6328125" bestFit="1" customWidth="1"/>
    <col min="686" max="686" width="11.08984375" bestFit="1" customWidth="1"/>
    <col min="687" max="687" width="8.6328125" bestFit="1" customWidth="1"/>
    <col min="688" max="688" width="11.08984375" bestFit="1" customWidth="1"/>
    <col min="689" max="689" width="8.6328125" bestFit="1" customWidth="1"/>
    <col min="690" max="690" width="11.08984375" bestFit="1" customWidth="1"/>
    <col min="691" max="691" width="8.6328125" bestFit="1" customWidth="1"/>
    <col min="692" max="692" width="11.08984375" bestFit="1" customWidth="1"/>
    <col min="693" max="693" width="8.6328125" bestFit="1" customWidth="1"/>
    <col min="694" max="694" width="11.08984375" bestFit="1" customWidth="1"/>
    <col min="695" max="695" width="8.6328125" bestFit="1" customWidth="1"/>
    <col min="696" max="696" width="11.08984375" bestFit="1" customWidth="1"/>
    <col min="697" max="697" width="8.6328125" bestFit="1" customWidth="1"/>
    <col min="698" max="698" width="11.08984375" bestFit="1" customWidth="1"/>
    <col min="699" max="699" width="8.6328125" bestFit="1" customWidth="1"/>
    <col min="700" max="700" width="11.08984375" bestFit="1" customWidth="1"/>
    <col min="701" max="701" width="8.6328125" bestFit="1" customWidth="1"/>
    <col min="702" max="702" width="11.08984375" bestFit="1" customWidth="1"/>
    <col min="703" max="703" width="8.6328125" bestFit="1" customWidth="1"/>
    <col min="704" max="704" width="11.08984375" bestFit="1" customWidth="1"/>
    <col min="705" max="705" width="8.6328125" bestFit="1" customWidth="1"/>
    <col min="706" max="706" width="11.08984375" bestFit="1" customWidth="1"/>
    <col min="707" max="707" width="8.6328125" bestFit="1" customWidth="1"/>
    <col min="708" max="708" width="11.08984375" bestFit="1" customWidth="1"/>
    <col min="709" max="709" width="8.6328125" bestFit="1" customWidth="1"/>
    <col min="710" max="710" width="11.08984375" bestFit="1" customWidth="1"/>
    <col min="711" max="711" width="8.6328125" bestFit="1" customWidth="1"/>
    <col min="712" max="712" width="11.08984375" bestFit="1" customWidth="1"/>
    <col min="713" max="713" width="8.6328125" bestFit="1" customWidth="1"/>
    <col min="714" max="714" width="11.08984375" bestFit="1" customWidth="1"/>
    <col min="715" max="715" width="8.6328125" bestFit="1" customWidth="1"/>
    <col min="716" max="716" width="11.08984375" bestFit="1" customWidth="1"/>
    <col min="717" max="717" width="8.6328125" bestFit="1" customWidth="1"/>
    <col min="718" max="718" width="11.08984375" bestFit="1" customWidth="1"/>
    <col min="719" max="719" width="8.6328125" bestFit="1" customWidth="1"/>
    <col min="720" max="720" width="11.08984375" bestFit="1" customWidth="1"/>
    <col min="721" max="721" width="8.6328125" bestFit="1" customWidth="1"/>
    <col min="722" max="722" width="5.81640625" bestFit="1" customWidth="1"/>
    <col min="723" max="723" width="11.08984375" bestFit="1" customWidth="1"/>
    <col min="724" max="724" width="8.6328125" bestFit="1" customWidth="1"/>
    <col min="725" max="725" width="11.08984375" bestFit="1" customWidth="1"/>
    <col min="726" max="726" width="8.6328125" bestFit="1" customWidth="1"/>
    <col min="727" max="727" width="11.08984375" bestFit="1" customWidth="1"/>
    <col min="728" max="728" width="6.6328125" bestFit="1" customWidth="1"/>
    <col min="729" max="729" width="9.54296875" bestFit="1" customWidth="1"/>
    <col min="730" max="730" width="8.6328125" bestFit="1" customWidth="1"/>
    <col min="731" max="731" width="11.08984375" bestFit="1" customWidth="1"/>
    <col min="732" max="732" width="8.6328125" bestFit="1" customWidth="1"/>
    <col min="733" max="733" width="11.08984375" bestFit="1" customWidth="1"/>
    <col min="734" max="734" width="8.6328125" bestFit="1" customWidth="1"/>
    <col min="735" max="735" width="11.08984375" bestFit="1" customWidth="1"/>
    <col min="736" max="736" width="10.7265625" bestFit="1" customWidth="1"/>
    <col min="737" max="737" width="8.6328125" bestFit="1" customWidth="1"/>
    <col min="738" max="738" width="8.54296875" bestFit="1" customWidth="1"/>
    <col min="739" max="739" width="11.08984375" bestFit="1" customWidth="1"/>
    <col min="740" max="740" width="8.6328125" bestFit="1" customWidth="1"/>
    <col min="741" max="741" width="10.08984375" bestFit="1" customWidth="1"/>
    <col min="742" max="742" width="11.08984375" bestFit="1" customWidth="1"/>
    <col min="743" max="743" width="8.6328125" bestFit="1" customWidth="1"/>
    <col min="744" max="744" width="10.08984375" bestFit="1" customWidth="1"/>
    <col min="745" max="745" width="11.08984375" bestFit="1" customWidth="1"/>
    <col min="746" max="746" width="8.6328125" bestFit="1" customWidth="1"/>
    <col min="747" max="747" width="10.08984375" bestFit="1" customWidth="1"/>
    <col min="748" max="748" width="11.08984375" bestFit="1" customWidth="1"/>
    <col min="749" max="749" width="8.6328125" bestFit="1" customWidth="1"/>
    <col min="750" max="750" width="10.08984375" bestFit="1" customWidth="1"/>
    <col min="751" max="751" width="11.08984375" bestFit="1" customWidth="1"/>
    <col min="752" max="752" width="8.6328125" bestFit="1" customWidth="1"/>
    <col min="753" max="753" width="10.08984375" bestFit="1" customWidth="1"/>
    <col min="754" max="754" width="7.6328125" bestFit="1" customWidth="1"/>
    <col min="755" max="755" width="10.08984375" bestFit="1" customWidth="1"/>
    <col min="756" max="756" width="11.08984375" bestFit="1" customWidth="1"/>
    <col min="757" max="757" width="8.6328125" bestFit="1" customWidth="1"/>
    <col min="758" max="758" width="10.08984375" bestFit="1" customWidth="1"/>
    <col min="759" max="759" width="11.08984375" bestFit="1" customWidth="1"/>
    <col min="760" max="760" width="8.6328125" bestFit="1" customWidth="1"/>
    <col min="761" max="761" width="10.08984375" bestFit="1" customWidth="1"/>
    <col min="762" max="762" width="11.08984375" bestFit="1" customWidth="1"/>
    <col min="763" max="763" width="8.6328125" bestFit="1" customWidth="1"/>
    <col min="764" max="764" width="10.08984375" bestFit="1" customWidth="1"/>
    <col min="765" max="765" width="11.08984375" bestFit="1" customWidth="1"/>
    <col min="766" max="766" width="8.6328125" bestFit="1" customWidth="1"/>
    <col min="767" max="767" width="10.08984375" bestFit="1" customWidth="1"/>
    <col min="768" max="768" width="11.08984375" bestFit="1" customWidth="1"/>
    <col min="769" max="769" width="8.6328125" bestFit="1" customWidth="1"/>
    <col min="770" max="770" width="10.08984375" bestFit="1" customWidth="1"/>
    <col min="771" max="771" width="11.08984375" bestFit="1" customWidth="1"/>
    <col min="772" max="772" width="8.6328125" bestFit="1" customWidth="1"/>
    <col min="773" max="773" width="10.08984375" bestFit="1" customWidth="1"/>
    <col min="774" max="774" width="11.08984375" bestFit="1" customWidth="1"/>
    <col min="775" max="775" width="8.6328125" bestFit="1" customWidth="1"/>
    <col min="776" max="776" width="10.08984375" bestFit="1" customWidth="1"/>
    <col min="777" max="777" width="11.08984375" bestFit="1" customWidth="1"/>
    <col min="778" max="778" width="8.6328125" bestFit="1" customWidth="1"/>
    <col min="779" max="779" width="10.08984375" bestFit="1" customWidth="1"/>
    <col min="780" max="780" width="11.08984375" bestFit="1" customWidth="1"/>
    <col min="781" max="781" width="8.6328125" bestFit="1" customWidth="1"/>
    <col min="782" max="782" width="10.08984375" bestFit="1" customWidth="1"/>
    <col min="783" max="783" width="11.08984375" bestFit="1" customWidth="1"/>
    <col min="784" max="784" width="8.6328125" bestFit="1" customWidth="1"/>
    <col min="785" max="785" width="10.08984375" bestFit="1" customWidth="1"/>
    <col min="786" max="786" width="11.08984375" bestFit="1" customWidth="1"/>
    <col min="787" max="787" width="8.6328125" bestFit="1" customWidth="1"/>
    <col min="788" max="788" width="10.08984375" bestFit="1" customWidth="1"/>
    <col min="789" max="789" width="11.08984375" bestFit="1" customWidth="1"/>
    <col min="790" max="790" width="8.6328125" bestFit="1" customWidth="1"/>
    <col min="791" max="791" width="8.54296875" bestFit="1" customWidth="1"/>
    <col min="792" max="792" width="11.08984375" bestFit="1" customWidth="1"/>
    <col min="793" max="793" width="8.6328125" bestFit="1" customWidth="1"/>
    <col min="794" max="794" width="10.08984375" bestFit="1" customWidth="1"/>
    <col min="795" max="795" width="11.08984375" bestFit="1" customWidth="1"/>
    <col min="796" max="796" width="8.6328125" bestFit="1" customWidth="1"/>
    <col min="797" max="797" width="10.08984375" bestFit="1" customWidth="1"/>
    <col min="798" max="798" width="11.08984375" bestFit="1" customWidth="1"/>
    <col min="799" max="799" width="8.6328125" bestFit="1" customWidth="1"/>
    <col min="800" max="800" width="10.08984375" bestFit="1" customWidth="1"/>
    <col min="801" max="801" width="11.08984375" bestFit="1" customWidth="1"/>
    <col min="802" max="802" width="8.6328125" bestFit="1" customWidth="1"/>
    <col min="803" max="803" width="10.08984375" bestFit="1" customWidth="1"/>
    <col min="804" max="804" width="11.08984375" bestFit="1" customWidth="1"/>
    <col min="805" max="805" width="8.6328125" bestFit="1" customWidth="1"/>
    <col min="806" max="806" width="10.08984375" bestFit="1" customWidth="1"/>
    <col min="807" max="807" width="11.08984375" bestFit="1" customWidth="1"/>
    <col min="808" max="808" width="8.6328125" bestFit="1" customWidth="1"/>
    <col min="809" max="809" width="10.08984375" bestFit="1" customWidth="1"/>
    <col min="810" max="810" width="11.08984375" bestFit="1" customWidth="1"/>
    <col min="811" max="811" width="8.6328125" bestFit="1" customWidth="1"/>
    <col min="812" max="812" width="8.54296875" bestFit="1" customWidth="1"/>
    <col min="813" max="813" width="11.08984375" bestFit="1" customWidth="1"/>
    <col min="814" max="814" width="8.6328125" bestFit="1" customWidth="1"/>
    <col min="815" max="815" width="10.08984375" bestFit="1" customWidth="1"/>
    <col min="816" max="816" width="7.6328125" bestFit="1" customWidth="1"/>
    <col min="817" max="817" width="10.08984375" bestFit="1" customWidth="1"/>
    <col min="818" max="818" width="11.08984375" bestFit="1" customWidth="1"/>
    <col min="819" max="819" width="8.6328125" bestFit="1" customWidth="1"/>
    <col min="820" max="820" width="10.08984375" bestFit="1" customWidth="1"/>
    <col min="821" max="821" width="11.08984375" bestFit="1" customWidth="1"/>
    <col min="822" max="822" width="8.6328125" bestFit="1" customWidth="1"/>
    <col min="823" max="823" width="10.08984375" bestFit="1" customWidth="1"/>
    <col min="824" max="824" width="11.08984375" bestFit="1" customWidth="1"/>
    <col min="825" max="825" width="8.6328125" bestFit="1" customWidth="1"/>
    <col min="826" max="826" width="10.08984375" bestFit="1" customWidth="1"/>
    <col min="827" max="827" width="11.08984375" bestFit="1" customWidth="1"/>
    <col min="828" max="828" width="8.6328125" bestFit="1" customWidth="1"/>
    <col min="829" max="829" width="10.08984375" bestFit="1" customWidth="1"/>
    <col min="830" max="830" width="11.08984375" bestFit="1" customWidth="1"/>
    <col min="831" max="831" width="8.6328125" bestFit="1" customWidth="1"/>
    <col min="832" max="832" width="10.08984375" bestFit="1" customWidth="1"/>
    <col min="833" max="833" width="11.08984375" bestFit="1" customWidth="1"/>
    <col min="834" max="834" width="8.6328125" bestFit="1" customWidth="1"/>
    <col min="835" max="835" width="10.08984375" bestFit="1" customWidth="1"/>
    <col min="836" max="836" width="11.08984375" bestFit="1" customWidth="1"/>
    <col min="837" max="837" width="8.6328125" bestFit="1" customWidth="1"/>
    <col min="838" max="838" width="10.08984375" bestFit="1" customWidth="1"/>
    <col min="839" max="839" width="11.08984375" bestFit="1" customWidth="1"/>
    <col min="840" max="840" width="8.6328125" bestFit="1" customWidth="1"/>
    <col min="841" max="841" width="10.08984375" bestFit="1" customWidth="1"/>
    <col min="842" max="842" width="11.08984375" bestFit="1" customWidth="1"/>
    <col min="843" max="843" width="8.6328125" bestFit="1" customWidth="1"/>
    <col min="844" max="844" width="10.08984375" bestFit="1" customWidth="1"/>
    <col min="845" max="845" width="11.08984375" bestFit="1" customWidth="1"/>
    <col min="846" max="846" width="7.6328125" bestFit="1" customWidth="1"/>
    <col min="847" max="847" width="10.08984375" bestFit="1" customWidth="1"/>
    <col min="848" max="848" width="9.54296875" bestFit="1" customWidth="1"/>
    <col min="849" max="849" width="8.6328125" bestFit="1" customWidth="1"/>
    <col min="850" max="850" width="8.54296875" bestFit="1" customWidth="1"/>
    <col min="851" max="851" width="11.08984375" bestFit="1" customWidth="1"/>
    <col min="852" max="852" width="7.6328125" bestFit="1" customWidth="1"/>
    <col min="853" max="853" width="10.08984375" bestFit="1" customWidth="1"/>
    <col min="854" max="854" width="9.54296875" bestFit="1" customWidth="1"/>
    <col min="855" max="855" width="8.6328125" bestFit="1" customWidth="1"/>
    <col min="856" max="856" width="10.08984375" bestFit="1" customWidth="1"/>
    <col min="857" max="857" width="11.08984375" bestFit="1" customWidth="1"/>
    <col min="858" max="858" width="8.6328125" bestFit="1" customWidth="1"/>
    <col min="859" max="859" width="10.08984375" bestFit="1" customWidth="1"/>
    <col min="860" max="860" width="11.08984375" bestFit="1" customWidth="1"/>
    <col min="861" max="861" width="8.6328125" bestFit="1" customWidth="1"/>
    <col min="862" max="862" width="10.08984375" bestFit="1" customWidth="1"/>
    <col min="863" max="863" width="11.08984375" bestFit="1" customWidth="1"/>
    <col min="864" max="864" width="7.6328125" bestFit="1" customWidth="1"/>
    <col min="865" max="865" width="10.08984375" bestFit="1" customWidth="1"/>
    <col min="866" max="866" width="9.54296875" bestFit="1" customWidth="1"/>
    <col min="867" max="867" width="8.6328125" bestFit="1" customWidth="1"/>
    <col min="868" max="868" width="10.08984375" bestFit="1" customWidth="1"/>
    <col min="869" max="869" width="11.08984375" bestFit="1" customWidth="1"/>
    <col min="870" max="870" width="8.6328125" bestFit="1" customWidth="1"/>
    <col min="871" max="871" width="10.08984375" bestFit="1" customWidth="1"/>
    <col min="872" max="872" width="11.08984375" bestFit="1" customWidth="1"/>
    <col min="873" max="873" width="8.6328125" bestFit="1" customWidth="1"/>
    <col min="874" max="874" width="10.08984375" bestFit="1" customWidth="1"/>
    <col min="875" max="875" width="11.08984375" bestFit="1" customWidth="1"/>
    <col min="876" max="876" width="8.6328125" bestFit="1" customWidth="1"/>
    <col min="877" max="877" width="10.08984375" bestFit="1" customWidth="1"/>
    <col min="878" max="878" width="11.08984375" bestFit="1" customWidth="1"/>
    <col min="879" max="879" width="8.6328125" bestFit="1" customWidth="1"/>
    <col min="880" max="880" width="10.08984375" bestFit="1" customWidth="1"/>
    <col min="881" max="881" width="11.08984375" bestFit="1" customWidth="1"/>
    <col min="882" max="882" width="8.6328125" bestFit="1" customWidth="1"/>
    <col min="883" max="883" width="10.08984375" bestFit="1" customWidth="1"/>
    <col min="884" max="884" width="11.08984375" bestFit="1" customWidth="1"/>
    <col min="885" max="885" width="8.6328125" bestFit="1" customWidth="1"/>
    <col min="886" max="886" width="10.08984375" bestFit="1" customWidth="1"/>
    <col min="887" max="887" width="11.08984375" bestFit="1" customWidth="1"/>
    <col min="888" max="888" width="8.6328125" bestFit="1" customWidth="1"/>
    <col min="889" max="889" width="10.08984375" bestFit="1" customWidth="1"/>
    <col min="890" max="890" width="11.08984375" bestFit="1" customWidth="1"/>
    <col min="891" max="891" width="7.6328125" bestFit="1" customWidth="1"/>
    <col min="892" max="892" width="10.08984375" bestFit="1" customWidth="1"/>
    <col min="893" max="893" width="9.54296875" bestFit="1" customWidth="1"/>
    <col min="894" max="894" width="8.6328125" bestFit="1" customWidth="1"/>
    <col min="895" max="895" width="10.08984375" bestFit="1" customWidth="1"/>
    <col min="896" max="896" width="11.08984375" bestFit="1" customWidth="1"/>
    <col min="897" max="897" width="8.6328125" bestFit="1" customWidth="1"/>
    <col min="898" max="898" width="10.08984375" bestFit="1" customWidth="1"/>
    <col min="899" max="899" width="11.08984375" bestFit="1" customWidth="1"/>
    <col min="900" max="900" width="8.6328125" bestFit="1" customWidth="1"/>
    <col min="901" max="901" width="10.08984375" bestFit="1" customWidth="1"/>
    <col min="902" max="902" width="11.08984375" bestFit="1" customWidth="1"/>
    <col min="903" max="903" width="8.6328125" bestFit="1" customWidth="1"/>
    <col min="904" max="904" width="10.08984375" bestFit="1" customWidth="1"/>
    <col min="905" max="905" width="11.08984375" bestFit="1" customWidth="1"/>
    <col min="906" max="906" width="8.6328125" bestFit="1" customWidth="1"/>
    <col min="907" max="907" width="10.08984375" bestFit="1" customWidth="1"/>
    <col min="908" max="908" width="7.6328125" bestFit="1" customWidth="1"/>
    <col min="909" max="909" width="10.08984375" bestFit="1" customWidth="1"/>
    <col min="910" max="910" width="11.08984375" bestFit="1" customWidth="1"/>
    <col min="911" max="911" width="8.6328125" bestFit="1" customWidth="1"/>
    <col min="912" max="912" width="10.08984375" bestFit="1" customWidth="1"/>
    <col min="913" max="913" width="11.08984375" bestFit="1" customWidth="1"/>
    <col min="914" max="914" width="8.6328125" bestFit="1" customWidth="1"/>
    <col min="915" max="915" width="8.54296875" bestFit="1" customWidth="1"/>
    <col min="916" max="916" width="11.08984375" bestFit="1" customWidth="1"/>
    <col min="917" max="917" width="8.6328125" bestFit="1" customWidth="1"/>
    <col min="918" max="918" width="10.08984375" bestFit="1" customWidth="1"/>
    <col min="919" max="919" width="11.08984375" bestFit="1" customWidth="1"/>
    <col min="920" max="920" width="8.6328125" bestFit="1" customWidth="1"/>
    <col min="921" max="921" width="10.08984375" bestFit="1" customWidth="1"/>
    <col min="922" max="922" width="11.08984375" bestFit="1" customWidth="1"/>
    <col min="923" max="923" width="7.6328125" bestFit="1" customWidth="1"/>
    <col min="924" max="924" width="10.08984375" bestFit="1" customWidth="1"/>
    <col min="925" max="925" width="9.54296875" bestFit="1" customWidth="1"/>
    <col min="926" max="926" width="8.6328125" bestFit="1" customWidth="1"/>
    <col min="927" max="927" width="10.08984375" bestFit="1" customWidth="1"/>
    <col min="928" max="928" width="7.6328125" bestFit="1" customWidth="1"/>
    <col min="929" max="929" width="10.08984375" bestFit="1" customWidth="1"/>
    <col min="930" max="930" width="11.08984375" bestFit="1" customWidth="1"/>
    <col min="931" max="931" width="8.6328125" bestFit="1" customWidth="1"/>
    <col min="932" max="932" width="10.08984375" bestFit="1" customWidth="1"/>
    <col min="933" max="933" width="11.08984375" bestFit="1" customWidth="1"/>
    <col min="934" max="934" width="8.6328125" bestFit="1" customWidth="1"/>
    <col min="935" max="935" width="10.08984375" bestFit="1" customWidth="1"/>
    <col min="936" max="936" width="11.08984375" bestFit="1" customWidth="1"/>
    <col min="937" max="937" width="7.6328125" bestFit="1" customWidth="1"/>
    <col min="938" max="938" width="10.08984375" bestFit="1" customWidth="1"/>
    <col min="939" max="939" width="9.54296875" bestFit="1" customWidth="1"/>
    <col min="940" max="940" width="8.6328125" bestFit="1" customWidth="1"/>
    <col min="941" max="941" width="10.08984375" bestFit="1" customWidth="1"/>
    <col min="942" max="942" width="11.08984375" bestFit="1" customWidth="1"/>
    <col min="943" max="943" width="8.6328125" bestFit="1" customWidth="1"/>
    <col min="944" max="944" width="10.08984375" bestFit="1" customWidth="1"/>
    <col min="945" max="945" width="11.08984375" bestFit="1" customWidth="1"/>
    <col min="946" max="946" width="8.6328125" bestFit="1" customWidth="1"/>
    <col min="947" max="947" width="8.54296875" bestFit="1" customWidth="1"/>
    <col min="948" max="948" width="11.08984375" bestFit="1" customWidth="1"/>
    <col min="949" max="949" width="8.6328125" bestFit="1" customWidth="1"/>
    <col min="950" max="950" width="10.08984375" bestFit="1" customWidth="1"/>
    <col min="951" max="951" width="11.08984375" bestFit="1" customWidth="1"/>
    <col min="952" max="952" width="8.6328125" bestFit="1" customWidth="1"/>
    <col min="953" max="953" width="10.08984375" bestFit="1" customWidth="1"/>
    <col min="954" max="954" width="11.08984375" bestFit="1" customWidth="1"/>
    <col min="955" max="955" width="8.6328125" bestFit="1" customWidth="1"/>
    <col min="956" max="956" width="10.08984375" bestFit="1" customWidth="1"/>
    <col min="957" max="957" width="11.08984375" bestFit="1" customWidth="1"/>
    <col min="958" max="958" width="7.6328125" bestFit="1" customWidth="1"/>
    <col min="959" max="959" width="10.08984375" bestFit="1" customWidth="1"/>
    <col min="960" max="960" width="9.54296875" bestFit="1" customWidth="1"/>
    <col min="961" max="961" width="8.6328125" bestFit="1" customWidth="1"/>
    <col min="962" max="962" width="10.08984375" bestFit="1" customWidth="1"/>
    <col min="963" max="963" width="11.08984375" bestFit="1" customWidth="1"/>
    <col min="964" max="964" width="6.6328125" bestFit="1" customWidth="1"/>
    <col min="965" max="965" width="8.54296875" bestFit="1" customWidth="1"/>
    <col min="966" max="966" width="9.54296875" bestFit="1" customWidth="1"/>
    <col min="967" max="967" width="8.6328125" bestFit="1" customWidth="1"/>
    <col min="968" max="968" width="10.08984375" bestFit="1" customWidth="1"/>
    <col min="969" max="969" width="11.08984375" bestFit="1" customWidth="1"/>
    <col min="970" max="970" width="8.6328125" bestFit="1" customWidth="1"/>
    <col min="971" max="971" width="10.08984375" bestFit="1" customWidth="1"/>
    <col min="972" max="972" width="11.08984375" bestFit="1" customWidth="1"/>
    <col min="973" max="973" width="8.6328125" bestFit="1" customWidth="1"/>
    <col min="974" max="974" width="10.08984375" bestFit="1" customWidth="1"/>
    <col min="975" max="975" width="11.08984375" bestFit="1" customWidth="1"/>
    <col min="976" max="976" width="8.6328125" bestFit="1" customWidth="1"/>
    <col min="977" max="977" width="8.54296875" bestFit="1" customWidth="1"/>
    <col min="978" max="978" width="11.08984375" bestFit="1" customWidth="1"/>
    <col min="979" max="979" width="8.6328125" bestFit="1" customWidth="1"/>
    <col min="980" max="980" width="10.08984375" bestFit="1" customWidth="1"/>
    <col min="981" max="981" width="11.08984375" bestFit="1" customWidth="1"/>
    <col min="982" max="982" width="8.6328125" bestFit="1" customWidth="1"/>
    <col min="983" max="983" width="10.08984375" bestFit="1" customWidth="1"/>
    <col min="984" max="984" width="11.08984375" bestFit="1" customWidth="1"/>
    <col min="985" max="985" width="8.6328125" bestFit="1" customWidth="1"/>
    <col min="986" max="986" width="10.08984375" bestFit="1" customWidth="1"/>
    <col min="987" max="987" width="11.08984375" bestFit="1" customWidth="1"/>
    <col min="988" max="988" width="8.6328125" bestFit="1" customWidth="1"/>
    <col min="989" max="989" width="10.08984375" bestFit="1" customWidth="1"/>
    <col min="990" max="990" width="11.08984375" bestFit="1" customWidth="1"/>
    <col min="991" max="991" width="7.6328125" bestFit="1" customWidth="1"/>
    <col min="992" max="992" width="10.08984375" bestFit="1" customWidth="1"/>
    <col min="993" max="993" width="9.54296875" bestFit="1" customWidth="1"/>
    <col min="994" max="994" width="8.6328125" bestFit="1" customWidth="1"/>
    <col min="995" max="995" width="10.08984375" bestFit="1" customWidth="1"/>
    <col min="996" max="996" width="11.08984375" bestFit="1" customWidth="1"/>
    <col min="997" max="997" width="8.6328125" bestFit="1" customWidth="1"/>
    <col min="998" max="998" width="10.08984375" bestFit="1" customWidth="1"/>
    <col min="999" max="999" width="11.08984375" bestFit="1" customWidth="1"/>
    <col min="1000" max="1000" width="8.6328125" bestFit="1" customWidth="1"/>
    <col min="1001" max="1001" width="10.08984375" bestFit="1" customWidth="1"/>
    <col min="1002" max="1002" width="11.08984375" bestFit="1" customWidth="1"/>
    <col min="1003" max="1003" width="8.6328125" bestFit="1" customWidth="1"/>
    <col min="1004" max="1004" width="10.08984375" bestFit="1" customWidth="1"/>
    <col min="1005" max="1005" width="11.08984375" bestFit="1" customWidth="1"/>
    <col min="1006" max="1006" width="8.6328125" bestFit="1" customWidth="1"/>
    <col min="1007" max="1007" width="10.08984375" bestFit="1" customWidth="1"/>
    <col min="1008" max="1008" width="11.08984375" bestFit="1" customWidth="1"/>
    <col min="1009" max="1009" width="8.6328125" bestFit="1" customWidth="1"/>
    <col min="1010" max="1010" width="8.54296875" bestFit="1" customWidth="1"/>
    <col min="1011" max="1011" width="11.08984375" bestFit="1" customWidth="1"/>
    <col min="1012" max="1012" width="8.6328125" bestFit="1" customWidth="1"/>
    <col min="1013" max="1013" width="10.08984375" bestFit="1" customWidth="1"/>
    <col min="1014" max="1014" width="11.08984375" bestFit="1" customWidth="1"/>
    <col min="1015" max="1015" width="7.6328125" bestFit="1" customWidth="1"/>
    <col min="1016" max="1016" width="10.08984375" bestFit="1" customWidth="1"/>
    <col min="1017" max="1017" width="9.54296875" bestFit="1" customWidth="1"/>
    <col min="1018" max="1018" width="8.6328125" bestFit="1" customWidth="1"/>
    <col min="1019" max="1019" width="10.08984375" bestFit="1" customWidth="1"/>
    <col min="1020" max="1020" width="7.6328125" bestFit="1" customWidth="1"/>
    <col min="1021" max="1021" width="10.08984375" bestFit="1" customWidth="1"/>
    <col min="1022" max="1022" width="11.08984375" bestFit="1" customWidth="1"/>
    <col min="1023" max="1023" width="7.6328125" bestFit="1" customWidth="1"/>
    <col min="1024" max="1024" width="10.08984375" bestFit="1" customWidth="1"/>
    <col min="1025" max="1025" width="9.54296875" bestFit="1" customWidth="1"/>
    <col min="1026" max="1026" width="8.6328125" bestFit="1" customWidth="1"/>
    <col min="1027" max="1027" width="8.54296875" bestFit="1" customWidth="1"/>
    <col min="1028" max="1028" width="11.08984375" bestFit="1" customWidth="1"/>
    <col min="1029" max="1029" width="8.6328125" bestFit="1" customWidth="1"/>
    <col min="1030" max="1030" width="10.08984375" bestFit="1" customWidth="1"/>
    <col min="1031" max="1031" width="11.08984375" bestFit="1" customWidth="1"/>
    <col min="1032" max="1032" width="8.6328125" bestFit="1" customWidth="1"/>
    <col min="1033" max="1033" width="10.08984375" bestFit="1" customWidth="1"/>
    <col min="1034" max="1034" width="11.08984375" bestFit="1" customWidth="1"/>
    <col min="1035" max="1035" width="8.6328125" bestFit="1" customWidth="1"/>
    <col min="1036" max="1036" width="10.08984375" bestFit="1" customWidth="1"/>
    <col min="1037" max="1037" width="11.08984375" bestFit="1" customWidth="1"/>
    <col min="1038" max="1038" width="8.6328125" bestFit="1" customWidth="1"/>
    <col min="1039" max="1039" width="10.08984375" bestFit="1" customWidth="1"/>
    <col min="1040" max="1040" width="11.08984375" bestFit="1" customWidth="1"/>
    <col min="1041" max="1041" width="8.6328125" bestFit="1" customWidth="1"/>
    <col min="1042" max="1042" width="10.08984375" bestFit="1" customWidth="1"/>
    <col min="1043" max="1043" width="11.08984375" bestFit="1" customWidth="1"/>
    <col min="1044" max="1044" width="8.6328125" bestFit="1" customWidth="1"/>
    <col min="1045" max="1045" width="10.08984375" bestFit="1" customWidth="1"/>
    <col min="1046" max="1046" width="11.08984375" bestFit="1" customWidth="1"/>
    <col min="1047" max="1047" width="8.6328125" bestFit="1" customWidth="1"/>
    <col min="1048" max="1048" width="10.08984375" bestFit="1" customWidth="1"/>
    <col min="1049" max="1049" width="11.08984375" bestFit="1" customWidth="1"/>
    <col min="1050" max="1050" width="8.6328125" bestFit="1" customWidth="1"/>
    <col min="1051" max="1051" width="10.08984375" bestFit="1" customWidth="1"/>
    <col min="1052" max="1052" width="11.08984375" bestFit="1" customWidth="1"/>
    <col min="1053" max="1053" width="8.6328125" bestFit="1" customWidth="1"/>
    <col min="1054" max="1054" width="10.08984375" bestFit="1" customWidth="1"/>
    <col min="1055" max="1055" width="11.08984375" bestFit="1" customWidth="1"/>
    <col min="1056" max="1056" width="8.6328125" bestFit="1" customWidth="1"/>
    <col min="1057" max="1057" width="10.08984375" bestFit="1" customWidth="1"/>
    <col min="1058" max="1058" width="11.08984375" bestFit="1" customWidth="1"/>
    <col min="1059" max="1059" width="8.6328125" bestFit="1" customWidth="1"/>
    <col min="1060" max="1060" width="10.08984375" bestFit="1" customWidth="1"/>
    <col min="1061" max="1061" width="11.08984375" bestFit="1" customWidth="1"/>
    <col min="1062" max="1062" width="8.6328125" bestFit="1" customWidth="1"/>
    <col min="1063" max="1063" width="10.08984375" bestFit="1" customWidth="1"/>
    <col min="1064" max="1064" width="11.08984375" bestFit="1" customWidth="1"/>
    <col min="1065" max="1065" width="8.6328125" bestFit="1" customWidth="1"/>
    <col min="1066" max="1066" width="10.08984375" bestFit="1" customWidth="1"/>
    <col min="1067" max="1067" width="11.08984375" bestFit="1" customWidth="1"/>
    <col min="1068" max="1068" width="8.6328125" bestFit="1" customWidth="1"/>
    <col min="1069" max="1069" width="10.08984375" bestFit="1" customWidth="1"/>
    <col min="1070" max="1070" width="11.08984375" bestFit="1" customWidth="1"/>
    <col min="1071" max="1071" width="8.6328125" bestFit="1" customWidth="1"/>
    <col min="1072" max="1072" width="10.08984375" bestFit="1" customWidth="1"/>
    <col min="1073" max="1073" width="11.08984375" bestFit="1" customWidth="1"/>
    <col min="1074" max="1074" width="8.6328125" bestFit="1" customWidth="1"/>
    <col min="1075" max="1075" width="10.08984375" bestFit="1" customWidth="1"/>
    <col min="1076" max="1076" width="11.08984375" bestFit="1" customWidth="1"/>
    <col min="1077" max="1077" width="8.6328125" bestFit="1" customWidth="1"/>
    <col min="1078" max="1078" width="10.08984375" bestFit="1" customWidth="1"/>
    <col min="1079" max="1079" width="11.08984375" bestFit="1" customWidth="1"/>
    <col min="1080" max="1080" width="8.6328125" bestFit="1" customWidth="1"/>
    <col min="1081" max="1081" width="10.08984375" bestFit="1" customWidth="1"/>
    <col min="1082" max="1082" width="7.6328125" bestFit="1" customWidth="1"/>
    <col min="1083" max="1083" width="10.08984375" bestFit="1" customWidth="1"/>
    <col min="1084" max="1084" width="11.08984375" bestFit="1" customWidth="1"/>
    <col min="1085" max="1085" width="8.6328125" bestFit="1" customWidth="1"/>
    <col min="1086" max="1086" width="10.08984375" bestFit="1" customWidth="1"/>
    <col min="1087" max="1087" width="11.08984375" bestFit="1" customWidth="1"/>
    <col min="1088" max="1088" width="8.6328125" bestFit="1" customWidth="1"/>
    <col min="1089" max="1089" width="10.08984375" bestFit="1" customWidth="1"/>
    <col min="1090" max="1090" width="11.08984375" bestFit="1" customWidth="1"/>
    <col min="1091" max="1091" width="7.6328125" bestFit="1" customWidth="1"/>
    <col min="1092" max="1092" width="10.08984375" bestFit="1" customWidth="1"/>
    <col min="1093" max="1093" width="9.54296875" bestFit="1" customWidth="1"/>
    <col min="1094" max="1094" width="8.6328125" bestFit="1" customWidth="1"/>
    <col min="1095" max="1095" width="10.08984375" bestFit="1" customWidth="1"/>
    <col min="1096" max="1096" width="11.08984375" bestFit="1" customWidth="1"/>
    <col min="1097" max="1097" width="8.6328125" bestFit="1" customWidth="1"/>
    <col min="1098" max="1098" width="10.08984375" bestFit="1" customWidth="1"/>
    <col min="1099" max="1099" width="11.08984375" bestFit="1" customWidth="1"/>
    <col min="1100" max="1100" width="8.6328125" bestFit="1" customWidth="1"/>
    <col min="1101" max="1101" width="10.08984375" bestFit="1" customWidth="1"/>
    <col min="1102" max="1102" width="11.08984375" bestFit="1" customWidth="1"/>
    <col min="1103" max="1103" width="10.7265625" bestFit="1" customWidth="1"/>
  </cols>
  <sheetData>
    <row r="1" spans="1:33" x14ac:dyDescent="0.35">
      <c r="A1" s="21" t="s">
        <v>1164</v>
      </c>
      <c r="B1" s="21"/>
      <c r="C1" s="21"/>
      <c r="D1" s="15" t="s">
        <v>1159</v>
      </c>
      <c r="E1" s="15" t="s">
        <v>1160</v>
      </c>
      <c r="F1" s="15" t="s">
        <v>1161</v>
      </c>
      <c r="G1" s="15" t="s">
        <v>1156</v>
      </c>
      <c r="H1" s="15" t="s">
        <v>1157</v>
      </c>
      <c r="I1" s="15" t="s">
        <v>26</v>
      </c>
      <c r="J1" s="15" t="s">
        <v>23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spans="1:33" x14ac:dyDescent="0.35">
      <c r="A2" s="14" t="s">
        <v>30</v>
      </c>
      <c r="B2" s="2">
        <v>2023</v>
      </c>
      <c r="C2" s="2" t="s">
        <v>136</v>
      </c>
      <c r="D2" s="6">
        <v>2490.6000000000008</v>
      </c>
      <c r="E2" s="6">
        <v>358.70000000000005</v>
      </c>
      <c r="F2" s="6">
        <v>169.7</v>
      </c>
      <c r="G2" s="6">
        <v>379.1</v>
      </c>
      <c r="H2" s="6">
        <v>179.8</v>
      </c>
      <c r="I2" s="6">
        <v>180.3</v>
      </c>
      <c r="J2" s="6">
        <v>187.8</v>
      </c>
      <c r="K2" s="2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spans="1:33" x14ac:dyDescent="0.35">
      <c r="A3" s="13" t="s">
        <v>54</v>
      </c>
      <c r="B3" s="3">
        <v>2023</v>
      </c>
      <c r="C3" s="3" t="s">
        <v>136</v>
      </c>
      <c r="D3" s="7">
        <v>2539.2999999999997</v>
      </c>
      <c r="E3" s="7">
        <v>354.79999999999995</v>
      </c>
      <c r="F3" s="7">
        <v>160.4</v>
      </c>
      <c r="G3" s="7">
        <v>349.4</v>
      </c>
      <c r="H3" s="7">
        <v>345.7</v>
      </c>
      <c r="I3" s="7">
        <v>174.8</v>
      </c>
      <c r="J3" s="7">
        <v>182.2</v>
      </c>
      <c r="K3" s="3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</row>
    <row r="4" spans="1:33" x14ac:dyDescent="0.35">
      <c r="A4" s="14" t="s">
        <v>73</v>
      </c>
      <c r="B4" s="2">
        <v>2023</v>
      </c>
      <c r="C4" s="2" t="s">
        <v>136</v>
      </c>
      <c r="D4" s="6">
        <v>2507.9</v>
      </c>
      <c r="E4" s="6">
        <v>356.4</v>
      </c>
      <c r="F4" s="6">
        <v>164.8</v>
      </c>
      <c r="G4" s="6">
        <v>367</v>
      </c>
      <c r="H4" s="6">
        <v>350.79999999999995</v>
      </c>
      <c r="I4" s="6">
        <v>177.1</v>
      </c>
      <c r="J4" s="6">
        <v>185.7</v>
      </c>
      <c r="K4" s="22">
        <f>SUM(D4:J4)</f>
        <v>4109.7000000000007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spans="1:33" x14ac:dyDescent="0.3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</row>
    <row r="6" spans="1:33" x14ac:dyDescent="0.35">
      <c r="A6" s="14"/>
      <c r="B6" s="2"/>
      <c r="C6" s="2"/>
      <c r="D6" s="23">
        <f>D4/$K$4</f>
        <v>0.6102391902085309</v>
      </c>
      <c r="E6" s="23">
        <f t="shared" ref="E6:J6" si="0">E4/$K$4</f>
        <v>8.6721658515220068E-2</v>
      </c>
      <c r="F6" s="23">
        <f t="shared" si="0"/>
        <v>4.0100250626566414E-2</v>
      </c>
      <c r="G6" s="23">
        <f t="shared" si="0"/>
        <v>8.9300922208433692E-2</v>
      </c>
      <c r="H6" s="23">
        <f t="shared" si="0"/>
        <v>8.5359028639560033E-2</v>
      </c>
      <c r="I6" s="23">
        <f t="shared" si="0"/>
        <v>4.3093169817748245E-2</v>
      </c>
      <c r="J6" s="23">
        <f t="shared" si="0"/>
        <v>4.5185779983940424E-2</v>
      </c>
      <c r="K6" s="2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spans="1:33" x14ac:dyDescent="0.35">
      <c r="D7" s="16"/>
      <c r="E7" s="16"/>
      <c r="F7" s="16"/>
      <c r="G7" s="16"/>
      <c r="H7" s="16"/>
      <c r="I7" s="16"/>
      <c r="J7" s="16"/>
    </row>
    <row r="8" spans="1:33" ht="20" thickBot="1" x14ac:dyDescent="0.5">
      <c r="N8" s="28" t="s">
        <v>1171</v>
      </c>
    </row>
    <row r="9" spans="1:33" ht="15" thickTop="1" x14ac:dyDescent="0.35"/>
    <row r="10" spans="1:33" x14ac:dyDescent="0.35">
      <c r="A10" s="9" t="s">
        <v>0</v>
      </c>
      <c r="B10" t="s">
        <v>73</v>
      </c>
    </row>
    <row r="11" spans="1:33" x14ac:dyDescent="0.35">
      <c r="L11" s="29" t="s">
        <v>1170</v>
      </c>
      <c r="M11" s="29" t="s">
        <v>1169</v>
      </c>
      <c r="N11" s="30" t="s">
        <v>1168</v>
      </c>
      <c r="O11" s="29" t="s">
        <v>1160</v>
      </c>
      <c r="P11" s="31" t="s">
        <v>1168</v>
      </c>
      <c r="Q11" s="29" t="s">
        <v>1161</v>
      </c>
      <c r="R11" s="31" t="s">
        <v>1168</v>
      </c>
      <c r="S11" s="29" t="s">
        <v>1156</v>
      </c>
      <c r="T11" s="31" t="s">
        <v>1168</v>
      </c>
      <c r="U11" s="29" t="s">
        <v>1157</v>
      </c>
      <c r="V11" s="31" t="s">
        <v>1168</v>
      </c>
      <c r="W11" s="29" t="s">
        <v>26</v>
      </c>
      <c r="X11" s="31" t="s">
        <v>1168</v>
      </c>
      <c r="Y11" s="29" t="s">
        <v>23</v>
      </c>
      <c r="Z11" s="31" t="s">
        <v>1168</v>
      </c>
    </row>
    <row r="12" spans="1:33" x14ac:dyDescent="0.35">
      <c r="A12" s="9" t="s">
        <v>1166</v>
      </c>
      <c r="B12" t="s">
        <v>1175</v>
      </c>
      <c r="D12" s="36" t="s">
        <v>1170</v>
      </c>
      <c r="E12" s="36" t="s">
        <v>1176</v>
      </c>
      <c r="F12" s="36" t="s">
        <v>1177</v>
      </c>
      <c r="L12" s="26">
        <v>2017</v>
      </c>
      <c r="M12" s="33">
        <v>68461.900000000009</v>
      </c>
      <c r="N12" s="26"/>
      <c r="O12" s="33">
        <v>9031.1</v>
      </c>
      <c r="P12" s="26"/>
      <c r="Q12" s="33">
        <v>4227.5</v>
      </c>
      <c r="R12" s="26"/>
      <c r="S12" s="33">
        <v>9726.2999999999993</v>
      </c>
      <c r="T12" s="26"/>
      <c r="U12" s="33">
        <v>7949.199999999998</v>
      </c>
      <c r="V12" s="26"/>
      <c r="W12" s="33">
        <v>4902.7000000000007</v>
      </c>
      <c r="X12" s="26"/>
      <c r="Y12" s="33">
        <v>4641.8</v>
      </c>
      <c r="Z12" s="26"/>
    </row>
    <row r="13" spans="1:33" x14ac:dyDescent="0.35">
      <c r="A13" s="24">
        <v>2017</v>
      </c>
      <c r="B13">
        <v>36877.800000000003</v>
      </c>
      <c r="D13" s="26">
        <v>2017</v>
      </c>
      <c r="E13" s="26">
        <v>36877.800000000003</v>
      </c>
      <c r="F13" s="35"/>
      <c r="L13" s="26">
        <v>2018</v>
      </c>
      <c r="M13" s="33">
        <v>69416.800000000003</v>
      </c>
      <c r="N13" s="27">
        <f t="shared" ref="N13:N18" si="1">(M13-M12)/M12</f>
        <v>1.3947903870619923E-2</v>
      </c>
      <c r="O13" s="33">
        <v>9475.3999999999978</v>
      </c>
      <c r="P13" s="27">
        <f t="shared" ref="P13:P18" si="2">(O13-O12)/O12</f>
        <v>4.9196664858101168E-2</v>
      </c>
      <c r="Q13" s="33">
        <v>4440.1000000000013</v>
      </c>
      <c r="R13" s="27">
        <f t="shared" ref="R13:R18" si="3">(Q13-Q12)/Q12</f>
        <v>5.028976936723862E-2</v>
      </c>
      <c r="S13" s="33">
        <v>10161.000000000004</v>
      </c>
      <c r="T13" s="27">
        <f t="shared" ref="T13:T18" si="4">(S13-S12)/S12</f>
        <v>4.4693254372166639E-2</v>
      </c>
      <c r="U13" s="33">
        <v>8432.5</v>
      </c>
      <c r="V13" s="27">
        <f t="shared" ref="V13:V18" si="5">(U13-U12)/U12</f>
        <v>6.0798570925376404E-2</v>
      </c>
      <c r="W13" s="33">
        <v>5185.300000000002</v>
      </c>
      <c r="X13" s="27">
        <f t="shared" ref="X13:X18" si="6">(W13-W12)/W12</f>
        <v>5.7641707630489571E-2</v>
      </c>
      <c r="Y13" s="33">
        <v>4932.2</v>
      </c>
      <c r="Z13" s="27">
        <f t="shared" ref="Z13:Z18" si="7">(Y13-Y12)/Y12</f>
        <v>6.2561937179542337E-2</v>
      </c>
    </row>
    <row r="14" spans="1:33" x14ac:dyDescent="0.35">
      <c r="A14" s="24">
        <v>2018</v>
      </c>
      <c r="B14">
        <v>37986.600000000006</v>
      </c>
      <c r="C14" s="25"/>
      <c r="D14" s="26">
        <v>2018</v>
      </c>
      <c r="E14" s="26">
        <v>37986.600000000006</v>
      </c>
      <c r="F14" s="35">
        <f t="shared" ref="F14:F19" si="8">(E14-E13)/E13</f>
        <v>3.0066869498722885E-2</v>
      </c>
      <c r="L14" s="26">
        <v>2019</v>
      </c>
      <c r="M14" s="33">
        <v>66033.5</v>
      </c>
      <c r="N14" s="27">
        <f t="shared" si="1"/>
        <v>-4.8738921990065846E-2</v>
      </c>
      <c r="O14" s="33">
        <v>9139.1</v>
      </c>
      <c r="P14" s="27">
        <f t="shared" si="2"/>
        <v>-3.5491905354918793E-2</v>
      </c>
      <c r="Q14" s="33">
        <v>4150.9999999999991</v>
      </c>
      <c r="R14" s="27">
        <f t="shared" si="3"/>
        <v>-6.5111146145357554E-2</v>
      </c>
      <c r="S14" s="33">
        <v>9500.6999999999989</v>
      </c>
      <c r="T14" s="27">
        <f t="shared" si="4"/>
        <v>-6.4983761440803506E-2</v>
      </c>
      <c r="U14" s="33">
        <v>8073.300000000002</v>
      </c>
      <c r="V14" s="27">
        <f t="shared" si="5"/>
        <v>-4.2597094574562469E-2</v>
      </c>
      <c r="W14" s="33">
        <v>5073.4999999999991</v>
      </c>
      <c r="X14" s="27">
        <f t="shared" si="6"/>
        <v>-2.1560951150367939E-2</v>
      </c>
      <c r="Y14" s="33">
        <v>4848.5</v>
      </c>
      <c r="Z14" s="27">
        <f t="shared" si="7"/>
        <v>-1.6970114756092579E-2</v>
      </c>
    </row>
    <row r="15" spans="1:33" x14ac:dyDescent="0.35">
      <c r="A15" s="24">
        <v>2019</v>
      </c>
      <c r="B15">
        <v>36146.399999999994</v>
      </c>
      <c r="C15" s="25"/>
      <c r="D15" s="26">
        <v>2019</v>
      </c>
      <c r="E15" s="26">
        <v>36146.399999999994</v>
      </c>
      <c r="F15" s="35">
        <f t="shared" si="8"/>
        <v>-4.8443398461563057E-2</v>
      </c>
      <c r="L15" s="26">
        <v>2020</v>
      </c>
      <c r="M15" s="33">
        <v>70197.699999999983</v>
      </c>
      <c r="N15" s="27">
        <f t="shared" si="1"/>
        <v>6.3061930686696646E-2</v>
      </c>
      <c r="O15" s="33">
        <v>8956.1999999999971</v>
      </c>
      <c r="P15" s="27">
        <f t="shared" si="2"/>
        <v>-2.0012911555842835E-2</v>
      </c>
      <c r="Q15" s="33">
        <v>4088.5000000000009</v>
      </c>
      <c r="R15" s="27">
        <f t="shared" si="3"/>
        <v>-1.5056612864369597E-2</v>
      </c>
      <c r="S15" s="33">
        <v>8854.7999999999993</v>
      </c>
      <c r="T15" s="27">
        <f t="shared" si="4"/>
        <v>-6.7984464302630304E-2</v>
      </c>
      <c r="U15" s="33">
        <v>7850.1000000000013</v>
      </c>
      <c r="V15" s="27">
        <f t="shared" si="5"/>
        <v>-2.7646687228271051E-2</v>
      </c>
      <c r="W15" s="33">
        <v>4734.1000000000004</v>
      </c>
      <c r="X15" s="27">
        <f t="shared" si="6"/>
        <v>-6.6896619690548692E-2</v>
      </c>
      <c r="Y15" s="33">
        <v>5064.5999999999995</v>
      </c>
      <c r="Z15" s="27">
        <f t="shared" si="7"/>
        <v>4.4570485717232024E-2</v>
      </c>
    </row>
    <row r="16" spans="1:33" x14ac:dyDescent="0.35">
      <c r="A16" s="24">
        <v>2020</v>
      </c>
      <c r="B16">
        <v>37122.899999999994</v>
      </c>
      <c r="C16" s="25"/>
      <c r="D16" s="26">
        <v>2020</v>
      </c>
      <c r="E16" s="26">
        <v>37122.899999999994</v>
      </c>
      <c r="F16" s="35">
        <f t="shared" si="8"/>
        <v>2.701513843702278E-2</v>
      </c>
      <c r="L16" s="26">
        <v>2021</v>
      </c>
      <c r="M16" s="33">
        <v>83342.300000000017</v>
      </c>
      <c r="N16" s="27">
        <f t="shared" si="1"/>
        <v>0.18725114925417838</v>
      </c>
      <c r="O16" s="33">
        <v>11328.6</v>
      </c>
      <c r="P16" s="27">
        <f t="shared" si="2"/>
        <v>0.26488912708514817</v>
      </c>
      <c r="Q16" s="33">
        <v>5425.199999999998</v>
      </c>
      <c r="R16" s="27">
        <f t="shared" si="3"/>
        <v>0.32694142105906732</v>
      </c>
      <c r="S16" s="33">
        <v>11272.599999999999</v>
      </c>
      <c r="T16" s="27">
        <f t="shared" si="4"/>
        <v>0.27304964539007087</v>
      </c>
      <c r="U16" s="33">
        <v>9455.6</v>
      </c>
      <c r="V16" s="27">
        <f t="shared" si="5"/>
        <v>0.20451968764729098</v>
      </c>
      <c r="W16" s="33">
        <v>5851.3000000000011</v>
      </c>
      <c r="X16" s="27">
        <f t="shared" si="6"/>
        <v>0.23598994529055167</v>
      </c>
      <c r="Y16" s="33">
        <v>5944.800000000002</v>
      </c>
      <c r="Z16" s="27">
        <f t="shared" si="7"/>
        <v>0.173794574102595</v>
      </c>
    </row>
    <row r="17" spans="1:26" x14ac:dyDescent="0.35">
      <c r="A17" s="24">
        <v>2021</v>
      </c>
      <c r="B17">
        <v>44818.899999999994</v>
      </c>
      <c r="C17" s="25"/>
      <c r="D17" s="26">
        <v>2021</v>
      </c>
      <c r="E17" s="26">
        <v>44818.899999999994</v>
      </c>
      <c r="F17" s="35">
        <f t="shared" si="8"/>
        <v>0.20731139000455248</v>
      </c>
      <c r="L17" s="26">
        <v>2022</v>
      </c>
      <c r="M17" s="33">
        <v>87918.899999999965</v>
      </c>
      <c r="N17" s="27">
        <f t="shared" si="1"/>
        <v>5.4913291329852267E-2</v>
      </c>
      <c r="O17" s="33">
        <v>12075.700000000004</v>
      </c>
      <c r="P17" s="27">
        <f t="shared" si="2"/>
        <v>6.5948131278357788E-2</v>
      </c>
      <c r="Q17" s="33">
        <v>5804.6999999999989</v>
      </c>
      <c r="R17" s="27">
        <f t="shared" si="3"/>
        <v>6.9951338199513574E-2</v>
      </c>
      <c r="S17" s="33">
        <v>12432.300000000003</v>
      </c>
      <c r="T17" s="27">
        <f t="shared" si="4"/>
        <v>0.10287777442648587</v>
      </c>
      <c r="U17" s="33">
        <v>10029.599999999999</v>
      </c>
      <c r="V17" s="27">
        <f t="shared" si="5"/>
        <v>6.0704767545158231E-2</v>
      </c>
      <c r="W17" s="33">
        <v>6127.0999999999985</v>
      </c>
      <c r="X17" s="27">
        <f t="shared" si="6"/>
        <v>4.7134824739800969E-2</v>
      </c>
      <c r="Y17" s="33">
        <v>6312.7</v>
      </c>
      <c r="Z17" s="27">
        <f t="shared" si="7"/>
        <v>6.1886018032565888E-2</v>
      </c>
    </row>
    <row r="18" spans="1:26" x14ac:dyDescent="0.35">
      <c r="A18" s="24">
        <v>2022</v>
      </c>
      <c r="B18">
        <v>47544.100000000006</v>
      </c>
      <c r="C18" s="25"/>
      <c r="D18" s="26">
        <v>2022</v>
      </c>
      <c r="E18" s="26">
        <v>47544.100000000006</v>
      </c>
      <c r="F18" s="35">
        <f t="shared" si="8"/>
        <v>6.0804705157868934E-2</v>
      </c>
      <c r="L18" s="26">
        <v>2023</v>
      </c>
      <c r="M18" s="33">
        <v>37403.200000000004</v>
      </c>
      <c r="N18" s="27">
        <f t="shared" si="1"/>
        <v>-0.57457156538582699</v>
      </c>
      <c r="O18" s="33">
        <v>5289.0000000000009</v>
      </c>
      <c r="P18" s="27">
        <f t="shared" si="2"/>
        <v>-0.56201296819232016</v>
      </c>
      <c r="Q18" s="33">
        <v>2466.1999999999998</v>
      </c>
      <c r="R18" s="27">
        <f t="shared" si="3"/>
        <v>-0.57513738866780362</v>
      </c>
      <c r="S18" s="33">
        <v>5448.3</v>
      </c>
      <c r="T18" s="27">
        <f t="shared" si="4"/>
        <v>-0.56176250573103936</v>
      </c>
      <c r="U18" s="33">
        <v>4350.2999999999993</v>
      </c>
      <c r="V18" s="27">
        <f t="shared" si="5"/>
        <v>-0.56625388849006941</v>
      </c>
      <c r="W18" s="33">
        <v>2638.1000000000004</v>
      </c>
      <c r="X18" s="27">
        <f t="shared" si="6"/>
        <v>-0.5694374173752671</v>
      </c>
      <c r="Y18" s="33">
        <v>2758.5</v>
      </c>
      <c r="Z18" s="27">
        <f t="shared" si="7"/>
        <v>-0.56302374578231185</v>
      </c>
    </row>
    <row r="19" spans="1:26" x14ac:dyDescent="0.35">
      <c r="A19" s="24">
        <v>2023</v>
      </c>
      <c r="B19">
        <v>20395.300000000003</v>
      </c>
      <c r="C19" s="25"/>
      <c r="D19" s="26">
        <v>2023</v>
      </c>
      <c r="E19" s="26">
        <v>20395.300000000003</v>
      </c>
      <c r="F19" s="35">
        <f t="shared" si="8"/>
        <v>-0.57102353394006822</v>
      </c>
      <c r="L19" s="32" t="s">
        <v>1167</v>
      </c>
      <c r="M19" s="32">
        <v>482774.30000000005</v>
      </c>
      <c r="N19" s="32"/>
      <c r="O19" s="32">
        <v>65295.1</v>
      </c>
      <c r="P19" s="32"/>
      <c r="Q19" s="32">
        <v>30603.200000000001</v>
      </c>
      <c r="R19" s="32"/>
      <c r="S19" s="32">
        <v>67396</v>
      </c>
      <c r="T19" s="32"/>
      <c r="U19" s="32">
        <v>56140.600000000006</v>
      </c>
      <c r="V19" s="32"/>
      <c r="W19" s="32">
        <v>34512.100000000006</v>
      </c>
      <c r="X19" s="32"/>
      <c r="Y19" s="32">
        <v>34503.100000000006</v>
      </c>
      <c r="Z19" s="32"/>
    </row>
    <row r="20" spans="1:26" x14ac:dyDescent="0.35">
      <c r="A20" s="24" t="s">
        <v>1167</v>
      </c>
      <c r="B20">
        <v>260892</v>
      </c>
      <c r="F20" s="25"/>
    </row>
    <row r="22" spans="1:26" x14ac:dyDescent="0.35">
      <c r="N22" s="34" t="s">
        <v>1172</v>
      </c>
    </row>
    <row r="23" spans="1:26" x14ac:dyDescent="0.35">
      <c r="N23" t="s">
        <v>1173</v>
      </c>
    </row>
    <row r="27" spans="1:26" x14ac:dyDescent="0.35">
      <c r="A27" s="36" t="s">
        <v>0</v>
      </c>
      <c r="B27" s="36" t="s">
        <v>1</v>
      </c>
      <c r="C27" s="36" t="s">
        <v>2</v>
      </c>
      <c r="D27" s="36" t="s">
        <v>1159</v>
      </c>
      <c r="E27" s="36" t="s">
        <v>1181</v>
      </c>
      <c r="L27" s="29" t="s">
        <v>1170</v>
      </c>
      <c r="M27" s="32" t="s">
        <v>1159</v>
      </c>
      <c r="N27" s="32" t="s">
        <v>1160</v>
      </c>
      <c r="O27" s="32" t="s">
        <v>1161</v>
      </c>
      <c r="P27" s="32" t="s">
        <v>1156</v>
      </c>
      <c r="Q27" s="32" t="s">
        <v>1157</v>
      </c>
      <c r="R27" s="32" t="s">
        <v>26</v>
      </c>
      <c r="S27" s="32" t="s">
        <v>23</v>
      </c>
      <c r="T27" s="39"/>
      <c r="U27" s="38"/>
      <c r="V27" s="37"/>
      <c r="W27" s="38"/>
      <c r="X27" s="37"/>
      <c r="Y27" s="38"/>
      <c r="Z27" s="37"/>
    </row>
    <row r="28" spans="1:26" x14ac:dyDescent="0.35">
      <c r="A28" t="s">
        <v>73</v>
      </c>
      <c r="B28">
        <v>2022</v>
      </c>
      <c r="C28" t="s">
        <v>123</v>
      </c>
      <c r="D28" s="8">
        <v>2408.2000000000003</v>
      </c>
      <c r="E28" s="26"/>
      <c r="L28" s="26">
        <v>2017</v>
      </c>
      <c r="M28" s="26"/>
      <c r="N28" s="26"/>
      <c r="O28" s="26"/>
      <c r="P28" s="26"/>
      <c r="Q28" s="26"/>
      <c r="R28" s="26"/>
      <c r="S28" s="26"/>
    </row>
    <row r="29" spans="1:26" x14ac:dyDescent="0.35">
      <c r="A29" s="26" t="s">
        <v>73</v>
      </c>
      <c r="B29" s="26">
        <v>2022</v>
      </c>
      <c r="C29" s="26" t="s">
        <v>136</v>
      </c>
      <c r="D29" s="41">
        <v>2433.0000000000005</v>
      </c>
      <c r="E29" s="35">
        <f>(D29-D28)/D28</f>
        <v>1.0298147994352703E-2</v>
      </c>
      <c r="L29" s="26">
        <v>2018</v>
      </c>
      <c r="M29" s="40">
        <v>1.3947903870619923E-2</v>
      </c>
      <c r="N29" s="40">
        <v>4.9196664858101168E-2</v>
      </c>
      <c r="O29" s="40">
        <v>5.028976936723862E-2</v>
      </c>
      <c r="P29" s="40">
        <v>4.4693254372166639E-2</v>
      </c>
      <c r="Q29" s="40">
        <v>6.0798570925376404E-2</v>
      </c>
      <c r="R29" s="40">
        <v>5.7641707630489571E-2</v>
      </c>
      <c r="S29" s="40">
        <v>6.2561937179542337E-2</v>
      </c>
    </row>
    <row r="30" spans="1:26" x14ac:dyDescent="0.35">
      <c r="A30" s="26" t="s">
        <v>73</v>
      </c>
      <c r="B30" s="26">
        <v>2022</v>
      </c>
      <c r="C30" s="26" t="s">
        <v>146</v>
      </c>
      <c r="D30" s="41">
        <v>2456.2000000000003</v>
      </c>
      <c r="E30" s="35">
        <f t="shared" ref="E30:E41" si="9">(D30-D29)/D29</f>
        <v>9.5355528154540958E-3</v>
      </c>
      <c r="L30" s="26">
        <v>2019</v>
      </c>
      <c r="M30" s="40">
        <v>-4.8738921990065846E-2</v>
      </c>
      <c r="N30" s="40">
        <v>-3.5491905354918793E-2</v>
      </c>
      <c r="O30" s="40">
        <v>-6.5111146145357554E-2</v>
      </c>
      <c r="P30" s="40">
        <v>-6.4983761440803506E-2</v>
      </c>
      <c r="Q30" s="40">
        <v>-4.2597094574562469E-2</v>
      </c>
      <c r="R30" s="40">
        <v>-2.1560951150367939E-2</v>
      </c>
      <c r="S30" s="40">
        <v>-1.6970114756092579E-2</v>
      </c>
    </row>
    <row r="31" spans="1:26" x14ac:dyDescent="0.35">
      <c r="A31" s="26" t="s">
        <v>73</v>
      </c>
      <c r="B31" s="26">
        <v>2022</v>
      </c>
      <c r="C31" s="26" t="s">
        <v>163</v>
      </c>
      <c r="D31" s="41">
        <v>2460.9</v>
      </c>
      <c r="E31" s="35">
        <f t="shared" si="9"/>
        <v>1.9135249572509638E-3</v>
      </c>
      <c r="L31" s="26">
        <v>2020</v>
      </c>
      <c r="M31" s="40">
        <v>6.3061930686696646E-2</v>
      </c>
      <c r="N31" s="40">
        <v>-2.0012911555842835E-2</v>
      </c>
      <c r="O31" s="40">
        <v>-1.5056612864369597E-2</v>
      </c>
      <c r="P31" s="40">
        <v>-6.7984464302630304E-2</v>
      </c>
      <c r="Q31" s="40">
        <v>-2.7646687228271051E-2</v>
      </c>
      <c r="R31" s="40">
        <v>-6.6896619690548692E-2</v>
      </c>
      <c r="S31" s="40">
        <v>4.4570485717232024E-2</v>
      </c>
    </row>
    <row r="32" spans="1:26" x14ac:dyDescent="0.35">
      <c r="A32" s="26" t="s">
        <v>73</v>
      </c>
      <c r="B32" s="26">
        <v>2022</v>
      </c>
      <c r="C32" s="26" t="s">
        <v>182</v>
      </c>
      <c r="D32" s="41">
        <v>2464.2000000000003</v>
      </c>
      <c r="E32" s="35">
        <f t="shared" si="9"/>
        <v>1.3409728148239188E-3</v>
      </c>
      <c r="L32" s="26">
        <v>2021</v>
      </c>
      <c r="M32" s="40">
        <v>0.18725114925417838</v>
      </c>
      <c r="N32" s="40">
        <v>0.26488912708514817</v>
      </c>
      <c r="O32" s="40">
        <v>0.32694142105906732</v>
      </c>
      <c r="P32" s="40">
        <v>0.27304964539007087</v>
      </c>
      <c r="Q32" s="40">
        <v>0.20451968764729098</v>
      </c>
      <c r="R32" s="40">
        <v>0.23598994529055167</v>
      </c>
      <c r="S32" s="40">
        <v>0.173794574102595</v>
      </c>
    </row>
    <row r="33" spans="1:19" x14ac:dyDescent="0.35">
      <c r="A33" s="26" t="s">
        <v>73</v>
      </c>
      <c r="B33" s="26">
        <v>2022</v>
      </c>
      <c r="C33" s="26" t="s">
        <v>197</v>
      </c>
      <c r="D33" s="41">
        <v>2476.8000000000002</v>
      </c>
      <c r="E33" s="35">
        <f t="shared" si="9"/>
        <v>5.1132213294375079E-3</v>
      </c>
      <c r="L33" s="26">
        <v>2022</v>
      </c>
      <c r="M33" s="40">
        <v>5.4913291329852267E-2</v>
      </c>
      <c r="N33" s="40">
        <v>6.5948131278357788E-2</v>
      </c>
      <c r="O33" s="40">
        <v>6.9951338199513574E-2</v>
      </c>
      <c r="P33" s="40">
        <v>0.10287777442648587</v>
      </c>
      <c r="Q33" s="40">
        <v>6.0704767545158231E-2</v>
      </c>
      <c r="R33" s="40">
        <v>4.7134824739800969E-2</v>
      </c>
      <c r="S33" s="40">
        <v>6.1886018032565888E-2</v>
      </c>
    </row>
    <row r="34" spans="1:19" x14ac:dyDescent="0.35">
      <c r="A34" s="26" t="s">
        <v>73</v>
      </c>
      <c r="B34" s="26">
        <v>2022</v>
      </c>
      <c r="C34" s="26" t="s">
        <v>207</v>
      </c>
      <c r="D34" s="41">
        <v>2493.6000000000004</v>
      </c>
      <c r="E34" s="35">
        <f t="shared" si="9"/>
        <v>6.7829457364341813E-3</v>
      </c>
      <c r="L34" s="26">
        <v>2023</v>
      </c>
      <c r="M34" s="40">
        <v>-0.57457156538582699</v>
      </c>
      <c r="N34" s="40">
        <v>-0.56201296819232016</v>
      </c>
      <c r="O34" s="40">
        <v>-0.57513738866780362</v>
      </c>
      <c r="P34" s="40">
        <v>-0.56176250573103936</v>
      </c>
      <c r="Q34" s="40">
        <v>-0.56625388849006941</v>
      </c>
      <c r="R34" s="40">
        <v>-0.5694374173752671</v>
      </c>
      <c r="S34" s="40">
        <v>-0.56302374578231185</v>
      </c>
    </row>
    <row r="35" spans="1:19" x14ac:dyDescent="0.35">
      <c r="A35" s="26" t="s">
        <v>73</v>
      </c>
      <c r="B35" s="26">
        <v>2022</v>
      </c>
      <c r="C35" s="26" t="s">
        <v>233</v>
      </c>
      <c r="D35" s="41">
        <v>2493.7000000000003</v>
      </c>
      <c r="E35" s="35">
        <f t="shared" si="9"/>
        <v>4.010266281677456E-5</v>
      </c>
    </row>
    <row r="36" spans="1:19" x14ac:dyDescent="0.35">
      <c r="A36" s="26" t="s">
        <v>73</v>
      </c>
      <c r="B36" s="26">
        <v>2022</v>
      </c>
      <c r="C36" s="26" t="s">
        <v>242</v>
      </c>
      <c r="D36" s="41">
        <v>2480.7000000000003</v>
      </c>
      <c r="E36" s="35">
        <f t="shared" si="9"/>
        <v>-5.2131371055058745E-3</v>
      </c>
    </row>
    <row r="37" spans="1:19" x14ac:dyDescent="0.35">
      <c r="A37" s="26" t="s">
        <v>73</v>
      </c>
      <c r="B37" s="26">
        <v>2023</v>
      </c>
      <c r="C37" s="26" t="s">
        <v>31</v>
      </c>
      <c r="D37" s="41">
        <v>2490.8999999999996</v>
      </c>
      <c r="E37" s="35">
        <f t="shared" si="9"/>
        <v>4.1117426532830906E-3</v>
      </c>
    </row>
    <row r="38" spans="1:19" x14ac:dyDescent="0.35">
      <c r="A38" s="26" t="s">
        <v>73</v>
      </c>
      <c r="B38" s="26">
        <v>2023</v>
      </c>
      <c r="C38" s="26" t="s">
        <v>85</v>
      </c>
      <c r="D38" s="41">
        <v>2478.6</v>
      </c>
      <c r="E38" s="35">
        <f t="shared" si="9"/>
        <v>-4.9379742261831984E-3</v>
      </c>
    </row>
    <row r="39" spans="1:19" x14ac:dyDescent="0.35">
      <c r="A39" s="26" t="s">
        <v>73</v>
      </c>
      <c r="B39" s="26">
        <v>2023</v>
      </c>
      <c r="C39" s="26" t="s">
        <v>107</v>
      </c>
      <c r="D39" s="41">
        <v>2478.6999999999998</v>
      </c>
      <c r="E39" s="35">
        <f t="shared" si="9"/>
        <v>4.034535624945899E-5</v>
      </c>
    </row>
    <row r="40" spans="1:19" x14ac:dyDescent="0.35">
      <c r="A40" s="26" t="s">
        <v>73</v>
      </c>
      <c r="B40" s="26">
        <v>2023</v>
      </c>
      <c r="C40" s="26" t="s">
        <v>123</v>
      </c>
      <c r="D40" s="41">
        <v>2490.2000000000003</v>
      </c>
      <c r="E40" s="35">
        <f t="shared" si="9"/>
        <v>4.6395287852505169E-3</v>
      </c>
    </row>
    <row r="41" spans="1:19" x14ac:dyDescent="0.35">
      <c r="A41" s="26" t="s">
        <v>73</v>
      </c>
      <c r="B41" s="26">
        <v>2023</v>
      </c>
      <c r="C41" s="26" t="s">
        <v>136</v>
      </c>
      <c r="D41" s="41">
        <v>2507.9</v>
      </c>
      <c r="E41" s="35">
        <f t="shared" si="9"/>
        <v>7.107862822263198E-3</v>
      </c>
    </row>
    <row r="60" spans="14:14" x14ac:dyDescent="0.35">
      <c r="N60" s="34" t="s">
        <v>1172</v>
      </c>
    </row>
    <row r="61" spans="14:14" x14ac:dyDescent="0.35">
      <c r="N61" t="s">
        <v>1178</v>
      </c>
    </row>
    <row r="62" spans="14:14" x14ac:dyDescent="0.35">
      <c r="N62" t="s">
        <v>1179</v>
      </c>
    </row>
    <row r="65" spans="1:11" x14ac:dyDescent="0.35">
      <c r="A65" s="61" t="s">
        <v>0</v>
      </c>
      <c r="B65" s="61" t="s">
        <v>1</v>
      </c>
      <c r="C65" s="61" t="s">
        <v>2</v>
      </c>
      <c r="D65" s="62" t="s">
        <v>1159</v>
      </c>
      <c r="E65" s="50" t="s">
        <v>1185</v>
      </c>
      <c r="F65" s="63" t="s">
        <v>1161</v>
      </c>
      <c r="G65" s="51" t="s">
        <v>1186</v>
      </c>
      <c r="H65" s="63" t="s">
        <v>26</v>
      </c>
      <c r="I65" s="51" t="s">
        <v>1186</v>
      </c>
      <c r="J65" s="63" t="s">
        <v>23</v>
      </c>
      <c r="K65" s="51" t="s">
        <v>1186</v>
      </c>
    </row>
    <row r="66" spans="1:11" x14ac:dyDescent="0.35">
      <c r="A66" s="26" t="s">
        <v>73</v>
      </c>
      <c r="B66" s="32">
        <v>2018</v>
      </c>
      <c r="C66" s="32" t="s">
        <v>31</v>
      </c>
      <c r="D66" s="33">
        <v>1934.6000000000001</v>
      </c>
      <c r="E66" s="41"/>
      <c r="F66" s="33">
        <v>119.3</v>
      </c>
      <c r="G66" s="41"/>
      <c r="H66" s="44">
        <v>139</v>
      </c>
      <c r="I66" s="41"/>
      <c r="J66" s="33">
        <v>133.30000000000001</v>
      </c>
      <c r="K66" s="41"/>
    </row>
    <row r="67" spans="1:11" x14ac:dyDescent="0.35">
      <c r="A67" s="26" t="s">
        <v>73</v>
      </c>
      <c r="B67" s="32">
        <v>2018</v>
      </c>
      <c r="C67" s="32" t="s">
        <v>85</v>
      </c>
      <c r="D67" s="33">
        <v>1915.2999999999997</v>
      </c>
      <c r="E67" s="35">
        <v>-9.9762224749304282E-3</v>
      </c>
      <c r="F67" s="33">
        <v>120.2</v>
      </c>
      <c r="G67" s="35">
        <v>7.5440067057837863E-3</v>
      </c>
      <c r="H67" s="44">
        <v>139</v>
      </c>
      <c r="I67" s="35">
        <v>0</v>
      </c>
      <c r="J67" s="33">
        <v>133.80000000000001</v>
      </c>
      <c r="K67" s="35">
        <v>3.7509377344336079E-3</v>
      </c>
    </row>
    <row r="68" spans="1:11" x14ac:dyDescent="0.35">
      <c r="A68" s="26" t="s">
        <v>73</v>
      </c>
      <c r="B68" s="32">
        <v>2018</v>
      </c>
      <c r="C68" s="32" t="s">
        <v>107</v>
      </c>
      <c r="D68" s="33">
        <v>1912.3</v>
      </c>
      <c r="E68" s="35">
        <v>-1.5663342557300543E-3</v>
      </c>
      <c r="F68" s="33">
        <v>121</v>
      </c>
      <c r="G68" s="35">
        <v>6.6555740432612072E-3</v>
      </c>
      <c r="H68" s="44">
        <v>139.80000000000001</v>
      </c>
      <c r="I68" s="35">
        <v>5.7553956834533191E-3</v>
      </c>
      <c r="J68" s="33">
        <v>134.30000000000001</v>
      </c>
      <c r="K68" s="35">
        <v>3.7369207772795215E-3</v>
      </c>
    </row>
    <row r="69" spans="1:11" x14ac:dyDescent="0.35">
      <c r="A69" s="26" t="s">
        <v>73</v>
      </c>
      <c r="B69" s="32">
        <v>2018</v>
      </c>
      <c r="C69" s="32" t="s">
        <v>123</v>
      </c>
      <c r="D69" s="33">
        <v>1914.0000000000002</v>
      </c>
      <c r="E69" s="35">
        <v>8.8898185431170466E-4</v>
      </c>
      <c r="F69" s="33">
        <v>121.9</v>
      </c>
      <c r="G69" s="35">
        <v>7.4380165289256667E-3</v>
      </c>
      <c r="H69" s="44">
        <v>141.4</v>
      </c>
      <c r="I69" s="35">
        <v>1.144492131616591E-2</v>
      </c>
      <c r="J69" s="33">
        <v>135.19999999999999</v>
      </c>
      <c r="K69" s="35">
        <v>6.7014147431122646E-3</v>
      </c>
    </row>
    <row r="70" spans="1:11" x14ac:dyDescent="0.35">
      <c r="A70" s="26" t="s">
        <v>73</v>
      </c>
      <c r="B70" s="32">
        <v>2018</v>
      </c>
      <c r="C70" s="32" t="s">
        <v>136</v>
      </c>
      <c r="D70" s="33">
        <v>1917.7</v>
      </c>
      <c r="E70" s="35">
        <v>1.9331243469173551E-3</v>
      </c>
      <c r="F70" s="33">
        <v>122.9</v>
      </c>
      <c r="G70" s="35">
        <v>8.2034454470877767E-3</v>
      </c>
      <c r="H70" s="44">
        <v>142.1</v>
      </c>
      <c r="I70" s="35">
        <v>4.9504950495048699E-3</v>
      </c>
      <c r="J70" s="33">
        <v>136</v>
      </c>
      <c r="K70" s="35">
        <v>5.9171597633136943E-3</v>
      </c>
    </row>
    <row r="71" spans="1:11" x14ac:dyDescent="0.35">
      <c r="A71" s="26" t="s">
        <v>73</v>
      </c>
      <c r="B71" s="32">
        <v>2018</v>
      </c>
      <c r="C71" s="32" t="s">
        <v>146</v>
      </c>
      <c r="D71" s="33">
        <v>1932.4</v>
      </c>
      <c r="E71" s="35">
        <v>7.6654325494081689E-3</v>
      </c>
      <c r="F71" s="33">
        <v>123.7</v>
      </c>
      <c r="G71" s="35">
        <v>6.50935720097638E-3</v>
      </c>
      <c r="H71" s="44">
        <v>142.80000000000001</v>
      </c>
      <c r="I71" s="35">
        <v>4.9261083743843571E-3</v>
      </c>
      <c r="J71" s="33">
        <v>136.19999999999999</v>
      </c>
      <c r="K71" s="35">
        <v>1.4705882352940341E-3</v>
      </c>
    </row>
    <row r="72" spans="1:11" x14ac:dyDescent="0.35">
      <c r="A72" s="26" t="s">
        <v>73</v>
      </c>
      <c r="B72" s="32">
        <v>2018</v>
      </c>
      <c r="C72" s="32" t="s">
        <v>163</v>
      </c>
      <c r="D72" s="33">
        <v>1952.8</v>
      </c>
      <c r="E72" s="35">
        <v>1.055682053405085E-2</v>
      </c>
      <c r="F72" s="33">
        <v>123.6</v>
      </c>
      <c r="G72" s="35">
        <v>-8.0840743734849252E-4</v>
      </c>
      <c r="H72" s="44">
        <v>144.69999999999999</v>
      </c>
      <c r="I72" s="35">
        <v>1.3305322128851381E-2</v>
      </c>
      <c r="J72" s="33">
        <v>137</v>
      </c>
      <c r="K72" s="35">
        <v>5.8737151248165302E-3</v>
      </c>
    </row>
    <row r="73" spans="1:11" x14ac:dyDescent="0.35">
      <c r="A73" s="26" t="s">
        <v>73</v>
      </c>
      <c r="B73" s="32">
        <v>2018</v>
      </c>
      <c r="C73" s="32" t="s">
        <v>182</v>
      </c>
      <c r="D73" s="33">
        <v>1956.6000000000004</v>
      </c>
      <c r="E73" s="35">
        <v>1.9459238017208158E-3</v>
      </c>
      <c r="F73" s="33">
        <v>124.3</v>
      </c>
      <c r="G73" s="35">
        <v>5.663430420711997E-3</v>
      </c>
      <c r="H73" s="44">
        <v>146</v>
      </c>
      <c r="I73" s="35">
        <v>8.9841050449206046E-3</v>
      </c>
      <c r="J73" s="33">
        <v>137.69999999999999</v>
      </c>
      <c r="K73" s="35">
        <v>5.1094890510948072E-3</v>
      </c>
    </row>
    <row r="74" spans="1:11" x14ac:dyDescent="0.35">
      <c r="A74" s="26" t="s">
        <v>73</v>
      </c>
      <c r="B74" s="32">
        <v>2018</v>
      </c>
      <c r="C74" s="32" t="s">
        <v>197</v>
      </c>
      <c r="D74" s="33">
        <v>1938.7</v>
      </c>
      <c r="E74" s="35">
        <v>-9.1485229479711314E-3</v>
      </c>
      <c r="F74" s="33">
        <v>126</v>
      </c>
      <c r="G74" s="35">
        <v>1.3676588897827859E-2</v>
      </c>
      <c r="H74" s="44">
        <v>146.19999999999999</v>
      </c>
      <c r="I74" s="35">
        <v>1.3698630136985523E-3</v>
      </c>
      <c r="J74" s="33">
        <v>138.4</v>
      </c>
      <c r="K74" s="35">
        <v>5.0835148874365807E-3</v>
      </c>
    </row>
    <row r="75" spans="1:11" x14ac:dyDescent="0.35">
      <c r="A75" s="26" t="s">
        <v>73</v>
      </c>
      <c r="B75" s="32">
        <v>2018</v>
      </c>
      <c r="C75" s="32" t="s">
        <v>207</v>
      </c>
      <c r="D75" s="33">
        <v>1938.8</v>
      </c>
      <c r="E75" s="35">
        <v>5.1580956310883093E-5</v>
      </c>
      <c r="F75" s="33">
        <v>125.5</v>
      </c>
      <c r="G75" s="35">
        <v>-3.968253968253968E-3</v>
      </c>
      <c r="H75" s="44">
        <v>147.80000000000001</v>
      </c>
      <c r="I75" s="35">
        <v>1.0943912448700566E-2</v>
      </c>
      <c r="J75" s="33">
        <v>142.1</v>
      </c>
      <c r="K75" s="35">
        <v>2.6734104046242692E-2</v>
      </c>
    </row>
    <row r="76" spans="1:11" x14ac:dyDescent="0.35">
      <c r="A76" s="26" t="s">
        <v>73</v>
      </c>
      <c r="B76" s="32">
        <v>2018</v>
      </c>
      <c r="C76" s="32" t="s">
        <v>233</v>
      </c>
      <c r="D76" s="33">
        <v>1938.3000000000002</v>
      </c>
      <c r="E76" s="35">
        <v>-2.578914792654078E-4</v>
      </c>
      <c r="F76" s="33">
        <v>125.5</v>
      </c>
      <c r="G76" s="35">
        <v>0</v>
      </c>
      <c r="H76" s="44">
        <v>147.80000000000001</v>
      </c>
      <c r="I76" s="35">
        <v>0</v>
      </c>
      <c r="J76" s="33">
        <v>142.1</v>
      </c>
      <c r="K76" s="35">
        <v>0</v>
      </c>
    </row>
    <row r="77" spans="1:11" x14ac:dyDescent="0.35">
      <c r="A77" s="26" t="s">
        <v>73</v>
      </c>
      <c r="B77" s="32">
        <v>2018</v>
      </c>
      <c r="C77" s="32" t="s">
        <v>242</v>
      </c>
      <c r="D77" s="33">
        <v>1925.7999999999997</v>
      </c>
      <c r="E77" s="35">
        <v>-6.4489501109221761E-3</v>
      </c>
      <c r="F77" s="33">
        <v>123.6</v>
      </c>
      <c r="G77" s="35">
        <v>-1.5139442231075743E-2</v>
      </c>
      <c r="H77" s="44">
        <v>150.1</v>
      </c>
      <c r="I77" s="35">
        <v>1.5561569688768489E-2</v>
      </c>
      <c r="J77" s="33">
        <v>144.9</v>
      </c>
      <c r="K77" s="35">
        <v>1.9704433497537026E-2</v>
      </c>
    </row>
    <row r="78" spans="1:11" x14ac:dyDescent="0.35">
      <c r="A78" s="26" t="s">
        <v>73</v>
      </c>
      <c r="B78" s="32">
        <v>2019</v>
      </c>
      <c r="C78" s="32" t="s">
        <v>31</v>
      </c>
      <c r="D78" s="33">
        <v>1916.6</v>
      </c>
      <c r="E78" s="35">
        <v>-4.7772354346244782E-3</v>
      </c>
      <c r="F78" s="33">
        <v>123.3</v>
      </c>
      <c r="G78" s="35">
        <v>-2.4271844660193947E-3</v>
      </c>
      <c r="H78" s="44">
        <v>150.19999999999999</v>
      </c>
      <c r="I78" s="35">
        <v>6.6622251832108143E-4</v>
      </c>
      <c r="J78" s="33">
        <v>145.1</v>
      </c>
      <c r="K78" s="35">
        <v>1.3802622498273887E-3</v>
      </c>
    </row>
    <row r="79" spans="1:11" x14ac:dyDescent="0.35">
      <c r="A79" s="26" t="s">
        <v>73</v>
      </c>
      <c r="B79" s="32">
        <v>2019</v>
      </c>
      <c r="C79" s="32" t="s">
        <v>85</v>
      </c>
      <c r="D79" s="33">
        <v>1920.5</v>
      </c>
      <c r="E79" s="35">
        <v>2.0348533862047853E-3</v>
      </c>
      <c r="F79" s="33">
        <v>123.9</v>
      </c>
      <c r="G79" s="35">
        <v>4.86618004866187E-3</v>
      </c>
      <c r="H79" s="44">
        <v>150.30000000000001</v>
      </c>
      <c r="I79" s="35">
        <v>6.6577896138497164E-4</v>
      </c>
      <c r="J79" s="33">
        <v>145.6</v>
      </c>
      <c r="K79" s="35">
        <v>3.4458993797381117E-3</v>
      </c>
    </row>
    <row r="80" spans="1:11" x14ac:dyDescent="0.35">
      <c r="A80" s="26" t="s">
        <v>73</v>
      </c>
      <c r="B80" s="32">
        <v>2019</v>
      </c>
      <c r="C80" s="32" t="s">
        <v>107</v>
      </c>
      <c r="D80" s="33">
        <v>1926.4</v>
      </c>
      <c r="E80" s="35">
        <v>3.0721166362926793E-3</v>
      </c>
      <c r="F80" s="33">
        <v>124.6</v>
      </c>
      <c r="G80" s="35">
        <v>5.6497175141242018E-3</v>
      </c>
      <c r="H80" s="44">
        <v>150.30000000000001</v>
      </c>
      <c r="I80" s="35">
        <v>0</v>
      </c>
      <c r="J80" s="33">
        <v>146.19999999999999</v>
      </c>
      <c r="K80" s="35">
        <v>4.120879120879082E-3</v>
      </c>
    </row>
    <row r="81" spans="1:13" x14ac:dyDescent="0.35">
      <c r="A81" s="26" t="s">
        <v>73</v>
      </c>
      <c r="B81" s="32">
        <v>2019</v>
      </c>
      <c r="C81" s="32" t="s">
        <v>136</v>
      </c>
      <c r="D81" s="33">
        <v>1956.0000000000002</v>
      </c>
      <c r="E81" s="35">
        <v>1.5365448504983458E-2</v>
      </c>
      <c r="F81" s="33">
        <v>124.9</v>
      </c>
      <c r="G81" s="35">
        <v>2.4077046548957575E-3</v>
      </c>
      <c r="H81" s="44">
        <v>151.6</v>
      </c>
      <c r="I81" s="35">
        <v>8.6493679308049416E-3</v>
      </c>
      <c r="J81" s="33">
        <v>146.9</v>
      </c>
      <c r="K81" s="35">
        <v>4.7879616963065466E-3</v>
      </c>
      <c r="M81" s="38"/>
    </row>
    <row r="82" spans="1:13" x14ac:dyDescent="0.35">
      <c r="A82" s="26" t="s">
        <v>73</v>
      </c>
      <c r="B82" s="32">
        <v>2019</v>
      </c>
      <c r="C82" s="32" t="s">
        <v>146</v>
      </c>
      <c r="D82" s="33">
        <v>1979.0000000000002</v>
      </c>
      <c r="E82" s="35">
        <v>1.1758691206543966E-2</v>
      </c>
      <c r="F82" s="33">
        <v>124.6</v>
      </c>
      <c r="G82" s="35">
        <v>-2.4019215372298747E-3</v>
      </c>
      <c r="H82" s="44">
        <v>152.5</v>
      </c>
      <c r="I82" s="35">
        <v>5.9366754617414625E-3</v>
      </c>
      <c r="J82" s="33">
        <v>147.4</v>
      </c>
      <c r="K82" s="35">
        <v>3.4036759700476512E-3</v>
      </c>
    </row>
    <row r="83" spans="1:13" x14ac:dyDescent="0.35">
      <c r="A83" s="26" t="s">
        <v>73</v>
      </c>
      <c r="B83" s="32">
        <v>2019</v>
      </c>
      <c r="C83" s="32" t="s">
        <v>163</v>
      </c>
      <c r="D83" s="33">
        <v>2002.7</v>
      </c>
      <c r="E83" s="35">
        <v>1.1975745325922089E-2</v>
      </c>
      <c r="F83" s="33">
        <v>125.6</v>
      </c>
      <c r="G83" s="35">
        <v>8.0256821829855548E-3</v>
      </c>
      <c r="H83" s="44">
        <v>154</v>
      </c>
      <c r="I83" s="35">
        <v>9.8360655737704927E-3</v>
      </c>
      <c r="J83" s="33">
        <v>147.9</v>
      </c>
      <c r="K83" s="35">
        <v>3.3921302578018993E-3</v>
      </c>
    </row>
    <row r="84" spans="1:13" x14ac:dyDescent="0.35">
      <c r="A84" s="26" t="s">
        <v>73</v>
      </c>
      <c r="B84" s="32">
        <v>2019</v>
      </c>
      <c r="C84" s="32" t="s">
        <v>182</v>
      </c>
      <c r="D84" s="33">
        <v>2012.3</v>
      </c>
      <c r="E84" s="35">
        <v>4.7935287362060762E-3</v>
      </c>
      <c r="F84" s="33">
        <v>125.8</v>
      </c>
      <c r="G84" s="35">
        <v>1.5923566878981118E-3</v>
      </c>
      <c r="H84" s="44">
        <v>154.9</v>
      </c>
      <c r="I84" s="35">
        <v>5.8441558441558808E-3</v>
      </c>
      <c r="J84" s="33">
        <v>148.5</v>
      </c>
      <c r="K84" s="35">
        <v>4.0567951318458036E-3</v>
      </c>
    </row>
    <row r="85" spans="1:13" x14ac:dyDescent="0.35">
      <c r="A85" s="26" t="s">
        <v>73</v>
      </c>
      <c r="B85" s="32">
        <v>2019</v>
      </c>
      <c r="C85" s="32" t="s">
        <v>197</v>
      </c>
      <c r="D85" s="33">
        <v>2024.1999999999998</v>
      </c>
      <c r="E85" s="35">
        <v>5.9136311683147961E-3</v>
      </c>
      <c r="F85" s="33">
        <v>126.1</v>
      </c>
      <c r="G85" s="35">
        <v>2.3847376788553032E-3</v>
      </c>
      <c r="H85" s="44">
        <v>155.19999999999999</v>
      </c>
      <c r="I85" s="35">
        <v>1.9367333763717427E-3</v>
      </c>
      <c r="J85" s="33">
        <v>149</v>
      </c>
      <c r="K85" s="35">
        <v>3.3670033670033669E-3</v>
      </c>
    </row>
    <row r="86" spans="1:13" x14ac:dyDescent="0.35">
      <c r="A86" s="26" t="s">
        <v>73</v>
      </c>
      <c r="B86" s="32">
        <v>2019</v>
      </c>
      <c r="C86" s="32" t="s">
        <v>207</v>
      </c>
      <c r="D86" s="33">
        <v>2052.6999999999998</v>
      </c>
      <c r="E86" s="35">
        <v>1.4079636399565262E-2</v>
      </c>
      <c r="F86" s="33">
        <v>126.3</v>
      </c>
      <c r="G86" s="35">
        <v>1.5860428231562478E-3</v>
      </c>
      <c r="H86" s="44">
        <v>155.4</v>
      </c>
      <c r="I86" s="35">
        <v>1.2886597938145429E-3</v>
      </c>
      <c r="J86" s="33">
        <v>149.4</v>
      </c>
      <c r="K86" s="35">
        <v>2.6845637583892998E-3</v>
      </c>
    </row>
    <row r="87" spans="1:13" x14ac:dyDescent="0.35">
      <c r="A87" s="26" t="s">
        <v>73</v>
      </c>
      <c r="B87" s="32">
        <v>2019</v>
      </c>
      <c r="C87" s="32" t="s">
        <v>233</v>
      </c>
      <c r="D87" s="33">
        <v>2078.8000000000002</v>
      </c>
      <c r="E87" s="35">
        <v>1.2714960783358683E-2</v>
      </c>
      <c r="F87" s="33">
        <v>126.6</v>
      </c>
      <c r="G87" s="35">
        <v>2.3752969121139918E-3</v>
      </c>
      <c r="H87" s="44">
        <v>155.5</v>
      </c>
      <c r="I87" s="35">
        <v>6.4350064350060694E-4</v>
      </c>
      <c r="J87" s="33">
        <v>149.9</v>
      </c>
      <c r="K87" s="35">
        <v>3.3467202141900937E-3</v>
      </c>
    </row>
    <row r="88" spans="1:13" x14ac:dyDescent="0.35">
      <c r="A88" s="26" t="s">
        <v>73</v>
      </c>
      <c r="B88" s="32">
        <v>2019</v>
      </c>
      <c r="C88" s="32" t="s">
        <v>242</v>
      </c>
      <c r="D88" s="33">
        <v>2114.6000000000004</v>
      </c>
      <c r="E88" s="35">
        <v>1.7221473927265817E-2</v>
      </c>
      <c r="F88" s="33">
        <v>129.80000000000001</v>
      </c>
      <c r="G88" s="35">
        <v>2.5276461295418776E-2</v>
      </c>
      <c r="H88" s="44">
        <v>155.69999999999999</v>
      </c>
      <c r="I88" s="35">
        <v>1.2861736334404414E-3</v>
      </c>
      <c r="J88" s="33">
        <v>150.4</v>
      </c>
      <c r="K88" s="35">
        <v>3.3355570380253501E-3</v>
      </c>
    </row>
    <row r="89" spans="1:13" x14ac:dyDescent="0.35">
      <c r="A89" s="26" t="s">
        <v>73</v>
      </c>
      <c r="B89" s="32">
        <v>2020</v>
      </c>
      <c r="C89" s="32" t="s">
        <v>31</v>
      </c>
      <c r="D89" s="33">
        <v>2109.6</v>
      </c>
      <c r="E89" s="35">
        <v>-2.3645133831459633E-3</v>
      </c>
      <c r="F89" s="33">
        <v>130.9</v>
      </c>
      <c r="G89" s="35">
        <v>8.4745762711863955E-3</v>
      </c>
      <c r="H89" s="44">
        <v>156.1</v>
      </c>
      <c r="I89" s="35">
        <v>2.5690430314708138E-3</v>
      </c>
      <c r="J89" s="33">
        <v>151.19999999999999</v>
      </c>
      <c r="K89" s="35">
        <v>5.319148936170099E-3</v>
      </c>
    </row>
    <row r="90" spans="1:13" x14ac:dyDescent="0.35">
      <c r="A90" s="26" t="s">
        <v>73</v>
      </c>
      <c r="B90" s="32">
        <v>2020</v>
      </c>
      <c r="C90" s="32" t="s">
        <v>85</v>
      </c>
      <c r="D90" s="33">
        <v>2081.6999999999998</v>
      </c>
      <c r="E90" s="35">
        <v>-1.322525597269629E-2</v>
      </c>
      <c r="F90" s="33">
        <v>130.30000000000001</v>
      </c>
      <c r="G90" s="35">
        <v>-4.583651642475128E-3</v>
      </c>
      <c r="H90" s="44">
        <v>156.19999999999999</v>
      </c>
      <c r="I90" s="35">
        <v>6.4061499039073878E-4</v>
      </c>
      <c r="J90" s="33">
        <v>151.69999999999999</v>
      </c>
      <c r="K90" s="35">
        <v>3.3068783068783071E-3</v>
      </c>
    </row>
    <row r="91" spans="1:13" x14ac:dyDescent="0.35">
      <c r="A91" s="52" t="s">
        <v>73</v>
      </c>
      <c r="B91" s="52">
        <v>2020</v>
      </c>
      <c r="C91" s="52" t="s">
        <v>107</v>
      </c>
      <c r="D91" s="52">
        <v>2066.6</v>
      </c>
      <c r="E91" s="53">
        <v>-7.2536868905221262E-3</v>
      </c>
      <c r="F91" s="52">
        <v>129.9</v>
      </c>
      <c r="G91" s="53">
        <v>-3.0698388334612866E-3</v>
      </c>
      <c r="H91" s="54">
        <v>156.1</v>
      </c>
      <c r="I91" s="53">
        <v>-6.4020486555694189E-4</v>
      </c>
      <c r="J91" s="52">
        <v>152.30000000000001</v>
      </c>
      <c r="K91" s="53">
        <v>3.9551746868821541E-3</v>
      </c>
    </row>
    <row r="92" spans="1:13" x14ac:dyDescent="0.35">
      <c r="A92" s="52" t="s">
        <v>73</v>
      </c>
      <c r="B92" s="52">
        <v>2020</v>
      </c>
      <c r="C92" s="52" t="s">
        <v>123</v>
      </c>
      <c r="D92" s="52">
        <v>2184.1</v>
      </c>
      <c r="E92" s="53">
        <v>5.6856672795896644E-2</v>
      </c>
      <c r="F92" s="54">
        <v>127.91249999999999</v>
      </c>
      <c r="G92" s="53">
        <v>-1.5300230946882303E-2</v>
      </c>
      <c r="H92" s="54">
        <v>154.75</v>
      </c>
      <c r="I92" s="53">
        <v>-8.6483023702754284E-3</v>
      </c>
      <c r="J92" s="54">
        <v>150.69999999999999</v>
      </c>
      <c r="K92" s="53">
        <v>-1.0505581089954186E-2</v>
      </c>
      <c r="M92" t="s">
        <v>1188</v>
      </c>
    </row>
    <row r="93" spans="1:13" x14ac:dyDescent="0.35">
      <c r="A93" s="52" t="s">
        <v>73</v>
      </c>
      <c r="B93" s="52">
        <v>2020</v>
      </c>
      <c r="C93" s="52" t="s">
        <v>136</v>
      </c>
      <c r="D93" s="52">
        <v>2181.4</v>
      </c>
      <c r="E93" s="53">
        <v>-1.2362071333729308E-3</v>
      </c>
      <c r="F93" s="54">
        <v>128.16093749999999</v>
      </c>
      <c r="G93" s="53">
        <v>1.9422456757548661E-3</v>
      </c>
      <c r="H93" s="54">
        <v>154.91874999999999</v>
      </c>
      <c r="I93" s="53">
        <v>1.0904684975766633E-3</v>
      </c>
      <c r="J93" s="54">
        <v>148.48750000000001</v>
      </c>
      <c r="K93" s="53">
        <v>-1.4681486396814714E-2</v>
      </c>
    </row>
    <row r="94" spans="1:13" x14ac:dyDescent="0.35">
      <c r="A94" s="52" t="s">
        <v>73</v>
      </c>
      <c r="B94" s="52">
        <v>2020</v>
      </c>
      <c r="C94" s="52" t="s">
        <v>146</v>
      </c>
      <c r="D94" s="52">
        <v>2150.3000000000002</v>
      </c>
      <c r="E94" s="53">
        <v>-1.425689923902077E-2</v>
      </c>
      <c r="F94" s="52">
        <v>135</v>
      </c>
      <c r="G94" s="53">
        <v>5.3363081087012272E-2</v>
      </c>
      <c r="H94" s="54">
        <v>156.4</v>
      </c>
      <c r="I94" s="53">
        <v>9.5614636704725361E-3</v>
      </c>
      <c r="J94" s="52">
        <v>154.4</v>
      </c>
      <c r="K94" s="53">
        <v>3.9818166512332644E-2</v>
      </c>
      <c r="M94" t="s">
        <v>1189</v>
      </c>
    </row>
    <row r="95" spans="1:13" x14ac:dyDescent="0.35">
      <c r="A95" s="52" t="s">
        <v>73</v>
      </c>
      <c r="B95" s="52">
        <v>2020</v>
      </c>
      <c r="C95" s="52" t="s">
        <v>163</v>
      </c>
      <c r="D95" s="52">
        <v>2150.3000000000002</v>
      </c>
      <c r="E95" s="53">
        <v>0</v>
      </c>
      <c r="F95" s="52">
        <v>135</v>
      </c>
      <c r="G95" s="53">
        <v>0</v>
      </c>
      <c r="H95" s="54">
        <v>156.4</v>
      </c>
      <c r="I95" s="53">
        <v>0</v>
      </c>
      <c r="J95" s="52">
        <v>154.4</v>
      </c>
      <c r="K95" s="53">
        <v>0</v>
      </c>
    </row>
    <row r="96" spans="1:13" x14ac:dyDescent="0.35">
      <c r="A96" s="52" t="s">
        <v>73</v>
      </c>
      <c r="B96" s="52">
        <v>2020</v>
      </c>
      <c r="C96" s="52" t="s">
        <v>182</v>
      </c>
      <c r="D96" s="52">
        <v>2177.7999999999997</v>
      </c>
      <c r="E96" s="53">
        <v>1.2788913174905615E-2</v>
      </c>
      <c r="F96" s="52">
        <v>138.5</v>
      </c>
      <c r="G96" s="53">
        <v>2.5925925925925925E-2</v>
      </c>
      <c r="H96" s="54">
        <v>158.5</v>
      </c>
      <c r="I96" s="53">
        <v>1.3427109974424516E-2</v>
      </c>
      <c r="J96" s="52">
        <v>155</v>
      </c>
      <c r="K96" s="53">
        <v>3.8860103626942636E-3</v>
      </c>
    </row>
    <row r="97" spans="1:13" x14ac:dyDescent="0.35">
      <c r="A97" s="26" t="s">
        <v>73</v>
      </c>
      <c r="B97" s="32">
        <v>2020</v>
      </c>
      <c r="C97" s="32" t="s">
        <v>197</v>
      </c>
      <c r="D97" s="33">
        <v>2191.4</v>
      </c>
      <c r="E97" s="35">
        <v>6.2448342363855104E-3</v>
      </c>
      <c r="F97" s="33">
        <v>139.6</v>
      </c>
      <c r="G97" s="35">
        <v>7.9422382671479729E-3</v>
      </c>
      <c r="H97" s="44">
        <v>157.5</v>
      </c>
      <c r="I97" s="35">
        <v>-6.3091482649842269E-3</v>
      </c>
      <c r="J97" s="33">
        <v>155.6</v>
      </c>
      <c r="K97" s="35">
        <v>3.870967741935447E-3</v>
      </c>
      <c r="M97" s="34" t="s">
        <v>1172</v>
      </c>
    </row>
    <row r="98" spans="1:13" x14ac:dyDescent="0.35">
      <c r="A98" s="26" t="s">
        <v>73</v>
      </c>
      <c r="B98" s="32">
        <v>2020</v>
      </c>
      <c r="C98" s="32" t="s">
        <v>207</v>
      </c>
      <c r="D98" s="33">
        <v>2232.9000000000005</v>
      </c>
      <c r="E98" s="35">
        <v>1.8937665419366822E-2</v>
      </c>
      <c r="F98" s="33">
        <v>140.6</v>
      </c>
      <c r="G98" s="35">
        <v>7.1633237822349575E-3</v>
      </c>
      <c r="H98" s="44">
        <v>158.5</v>
      </c>
      <c r="I98" s="35">
        <v>6.3492063492063492E-3</v>
      </c>
      <c r="J98" s="33">
        <v>156.30000000000001</v>
      </c>
      <c r="K98" s="35">
        <v>4.4987146529564077E-3</v>
      </c>
    </row>
    <row r="99" spans="1:13" x14ac:dyDescent="0.35">
      <c r="A99" s="26" t="s">
        <v>73</v>
      </c>
      <c r="B99" s="32">
        <v>2020</v>
      </c>
      <c r="C99" s="32" t="s">
        <v>233</v>
      </c>
      <c r="D99" s="33">
        <v>2280.4</v>
      </c>
      <c r="E99" s="35">
        <v>2.1272784271574873E-2</v>
      </c>
      <c r="F99" s="33">
        <v>140.4</v>
      </c>
      <c r="G99" s="35">
        <v>-1.4224751066855522E-3</v>
      </c>
      <c r="H99" s="44">
        <v>158.6</v>
      </c>
      <c r="I99" s="35">
        <v>6.3091482649838687E-4</v>
      </c>
      <c r="J99" s="33">
        <v>157.19999999999999</v>
      </c>
      <c r="K99" s="35">
        <v>5.7581573896351712E-3</v>
      </c>
      <c r="M99" t="s">
        <v>1190</v>
      </c>
    </row>
    <row r="100" spans="1:13" x14ac:dyDescent="0.35">
      <c r="A100" s="26" t="s">
        <v>73</v>
      </c>
      <c r="B100" s="32">
        <v>2020</v>
      </c>
      <c r="C100" s="32" t="s">
        <v>242</v>
      </c>
      <c r="D100" s="33">
        <v>2294.5</v>
      </c>
      <c r="E100" s="35">
        <v>6.1831257674091859E-3</v>
      </c>
      <c r="F100" s="33">
        <v>140.69999999999999</v>
      </c>
      <c r="G100" s="35">
        <v>2.1367521367520151E-3</v>
      </c>
      <c r="H100" s="44">
        <v>159.4</v>
      </c>
      <c r="I100" s="35">
        <v>5.0441361916772473E-3</v>
      </c>
      <c r="J100" s="33">
        <v>158.30000000000001</v>
      </c>
      <c r="K100" s="35">
        <v>6.9974554707380584E-3</v>
      </c>
      <c r="M100" t="s">
        <v>1191</v>
      </c>
    </row>
    <row r="101" spans="1:13" x14ac:dyDescent="0.35">
      <c r="A101" s="26" t="s">
        <v>73</v>
      </c>
      <c r="B101" s="32">
        <v>2021</v>
      </c>
      <c r="C101" s="32" t="s">
        <v>31</v>
      </c>
      <c r="D101" s="33">
        <v>2263</v>
      </c>
      <c r="E101" s="35">
        <v>-1.3728481150577468E-2</v>
      </c>
      <c r="F101" s="33">
        <v>141.9</v>
      </c>
      <c r="G101" s="35">
        <v>8.5287846481877545E-3</v>
      </c>
      <c r="H101" s="44">
        <v>159.19999999999999</v>
      </c>
      <c r="I101" s="35">
        <v>-1.2547051442911986E-3</v>
      </c>
      <c r="J101" s="33">
        <v>159.30000000000001</v>
      </c>
      <c r="K101" s="35">
        <v>6.3171193935565376E-3</v>
      </c>
    </row>
    <row r="102" spans="1:13" x14ac:dyDescent="0.35">
      <c r="A102" s="26" t="s">
        <v>73</v>
      </c>
      <c r="B102" s="32">
        <v>2021</v>
      </c>
      <c r="C102" s="32" t="s">
        <v>85</v>
      </c>
      <c r="D102" s="33">
        <v>2227.6000000000004</v>
      </c>
      <c r="E102" s="35">
        <v>-1.5642951833848711E-2</v>
      </c>
      <c r="F102" s="33">
        <v>145.1</v>
      </c>
      <c r="G102" s="35">
        <v>2.2551092318534097E-2</v>
      </c>
      <c r="H102" s="44">
        <v>159.5</v>
      </c>
      <c r="I102" s="35">
        <v>1.8844221105528353E-3</v>
      </c>
      <c r="J102" s="33">
        <v>161.30000000000001</v>
      </c>
      <c r="K102" s="35">
        <v>1.2554927809165096E-2</v>
      </c>
      <c r="M102" t="s">
        <v>1192</v>
      </c>
    </row>
    <row r="103" spans="1:13" x14ac:dyDescent="0.35">
      <c r="A103" s="26" t="s">
        <v>73</v>
      </c>
      <c r="B103" s="32">
        <v>2021</v>
      </c>
      <c r="C103" s="32" t="s">
        <v>107</v>
      </c>
      <c r="D103" s="33">
        <v>2227.5</v>
      </c>
      <c r="E103" s="35">
        <v>-4.4891362901941002E-5</v>
      </c>
      <c r="F103" s="33">
        <v>146.19999999999999</v>
      </c>
      <c r="G103" s="35">
        <v>7.5809786354238068E-3</v>
      </c>
      <c r="H103" s="44">
        <v>160.19999999999999</v>
      </c>
      <c r="I103" s="35">
        <v>4.3887147335422488E-3</v>
      </c>
      <c r="J103" s="33">
        <v>161.69999999999999</v>
      </c>
      <c r="K103" s="35">
        <v>2.4798512089273233E-3</v>
      </c>
      <c r="M103" t="s">
        <v>1193</v>
      </c>
    </row>
    <row r="104" spans="1:13" x14ac:dyDescent="0.35">
      <c r="A104" s="55" t="s">
        <v>73</v>
      </c>
      <c r="B104" s="55">
        <v>2021</v>
      </c>
      <c r="C104" s="55" t="s">
        <v>123</v>
      </c>
      <c r="D104" s="55">
        <v>2252.9</v>
      </c>
      <c r="E104" s="56">
        <v>1.1402918069584777E-2</v>
      </c>
      <c r="F104" s="55">
        <v>146.6</v>
      </c>
      <c r="G104" s="56">
        <v>2.7359781121751416E-3</v>
      </c>
      <c r="H104" s="57">
        <v>160.30000000000001</v>
      </c>
      <c r="I104" s="56">
        <v>6.2421972534346278E-4</v>
      </c>
      <c r="J104" s="55">
        <v>162.30000000000001</v>
      </c>
      <c r="K104" s="56">
        <v>3.7105751391467087E-3</v>
      </c>
    </row>
    <row r="105" spans="1:13" x14ac:dyDescent="0.35">
      <c r="A105" s="55" t="s">
        <v>73</v>
      </c>
      <c r="B105" s="55">
        <v>2021</v>
      </c>
      <c r="C105" s="55" t="s">
        <v>136</v>
      </c>
      <c r="D105" s="55">
        <v>2297.6000000000004</v>
      </c>
      <c r="E105" s="56">
        <v>1.9841093701451581E-2</v>
      </c>
      <c r="F105" s="55">
        <v>148.9</v>
      </c>
      <c r="G105" s="56">
        <v>1.568894952251031E-2</v>
      </c>
      <c r="H105" s="57">
        <v>161.19999999999999</v>
      </c>
      <c r="I105" s="56">
        <v>5.6144728633810183E-3</v>
      </c>
      <c r="J105" s="55">
        <v>165.8</v>
      </c>
      <c r="K105" s="56">
        <v>2.1565003080714726E-2</v>
      </c>
      <c r="M105" t="s">
        <v>1194</v>
      </c>
    </row>
    <row r="106" spans="1:13" x14ac:dyDescent="0.35">
      <c r="A106" s="55" t="s">
        <v>73</v>
      </c>
      <c r="B106" s="55">
        <v>2021</v>
      </c>
      <c r="C106" s="55" t="s">
        <v>146</v>
      </c>
      <c r="D106" s="55">
        <v>2324.7000000000003</v>
      </c>
      <c r="E106" s="56">
        <v>1.1794916434540349E-2</v>
      </c>
      <c r="F106" s="55">
        <v>150.69999999999999</v>
      </c>
      <c r="G106" s="56">
        <v>1.2088650100738636E-2</v>
      </c>
      <c r="H106" s="57">
        <v>161.69999999999999</v>
      </c>
      <c r="I106" s="56">
        <v>3.1017369727047149E-3</v>
      </c>
      <c r="J106" s="55">
        <v>166.3</v>
      </c>
      <c r="K106" s="56">
        <v>3.0156815440289505E-3</v>
      </c>
      <c r="M106" t="s">
        <v>1196</v>
      </c>
    </row>
    <row r="107" spans="1:13" x14ac:dyDescent="0.35">
      <c r="A107" s="55" t="s">
        <v>73</v>
      </c>
      <c r="B107" s="55">
        <v>2021</v>
      </c>
      <c r="C107" s="55" t="s">
        <v>163</v>
      </c>
      <c r="D107" s="55">
        <v>2338.1999999999998</v>
      </c>
      <c r="E107" s="56">
        <v>5.8072009291519526E-3</v>
      </c>
      <c r="F107" s="55">
        <v>153.1</v>
      </c>
      <c r="G107" s="56">
        <v>1.5925680159256841E-2</v>
      </c>
      <c r="H107" s="57">
        <v>163.19999999999999</v>
      </c>
      <c r="I107" s="56">
        <v>9.2764378478664197E-3</v>
      </c>
      <c r="J107" s="55">
        <v>167</v>
      </c>
      <c r="K107" s="56">
        <v>4.2092603728201361E-3</v>
      </c>
      <c r="M107" t="s">
        <v>1195</v>
      </c>
    </row>
    <row r="108" spans="1:13" x14ac:dyDescent="0.35">
      <c r="A108" s="58" t="s">
        <v>73</v>
      </c>
      <c r="B108" s="58">
        <v>2021</v>
      </c>
      <c r="C108" s="58" t="s">
        <v>182</v>
      </c>
      <c r="D108" s="58">
        <v>2334.1</v>
      </c>
      <c r="E108" s="59">
        <v>-1.7534855872037933E-3</v>
      </c>
      <c r="F108" s="58">
        <v>154</v>
      </c>
      <c r="G108" s="59">
        <v>5.8785107772697954E-3</v>
      </c>
      <c r="H108" s="60">
        <v>163.80000000000001</v>
      </c>
      <c r="I108" s="59">
        <v>3.6764705882354337E-3</v>
      </c>
      <c r="J108" s="58">
        <v>168.4</v>
      </c>
      <c r="K108" s="59">
        <v>8.3832335329341659E-3</v>
      </c>
    </row>
    <row r="109" spans="1:13" x14ac:dyDescent="0.35">
      <c r="A109" s="26" t="s">
        <v>73</v>
      </c>
      <c r="B109" s="32">
        <v>2021</v>
      </c>
      <c r="C109" s="32" t="s">
        <v>197</v>
      </c>
      <c r="D109" s="33">
        <v>2334.1</v>
      </c>
      <c r="E109" s="35">
        <v>0</v>
      </c>
      <c r="F109" s="33">
        <v>154</v>
      </c>
      <c r="G109" s="35">
        <v>0</v>
      </c>
      <c r="H109" s="44">
        <v>163.69999999999999</v>
      </c>
      <c r="I109" s="35">
        <v>-6.1050061050074928E-4</v>
      </c>
      <c r="J109" s="33">
        <v>168.4</v>
      </c>
      <c r="K109" s="35">
        <v>0</v>
      </c>
    </row>
    <row r="110" spans="1:13" x14ac:dyDescent="0.35">
      <c r="A110" s="26" t="s">
        <v>73</v>
      </c>
      <c r="B110" s="32">
        <v>2021</v>
      </c>
      <c r="C110" s="32" t="s">
        <v>207</v>
      </c>
      <c r="D110" s="33">
        <v>2368.1999999999998</v>
      </c>
      <c r="E110" s="35">
        <v>1.4609485454779105E-2</v>
      </c>
      <c r="F110" s="33">
        <v>155.69999999999999</v>
      </c>
      <c r="G110" s="35">
        <v>1.1038961038960965E-2</v>
      </c>
      <c r="H110" s="44">
        <v>163.9</v>
      </c>
      <c r="I110" s="35">
        <v>1.2217470983507458E-3</v>
      </c>
      <c r="J110" s="33">
        <v>169.1</v>
      </c>
      <c r="K110" s="35">
        <v>4.1567695961994573E-3</v>
      </c>
    </row>
    <row r="111" spans="1:13" x14ac:dyDescent="0.35">
      <c r="A111" s="26" t="s">
        <v>73</v>
      </c>
      <c r="B111" s="32">
        <v>2021</v>
      </c>
      <c r="C111" s="32" t="s">
        <v>233</v>
      </c>
      <c r="D111" s="33">
        <v>2387</v>
      </c>
      <c r="E111" s="35">
        <v>7.9385187061904328E-3</v>
      </c>
      <c r="F111" s="33">
        <v>154.80000000000001</v>
      </c>
      <c r="G111" s="35">
        <v>-5.7803468208091026E-3</v>
      </c>
      <c r="H111" s="44">
        <v>164.3</v>
      </c>
      <c r="I111" s="35">
        <v>2.4405125076266362E-3</v>
      </c>
      <c r="J111" s="33">
        <v>169.9</v>
      </c>
      <c r="K111" s="35">
        <v>4.730928444707341E-3</v>
      </c>
    </row>
    <row r="112" spans="1:13" x14ac:dyDescent="0.35">
      <c r="A112" s="26" t="s">
        <v>73</v>
      </c>
      <c r="B112" s="32">
        <v>2021</v>
      </c>
      <c r="C112" s="32" t="s">
        <v>242</v>
      </c>
      <c r="D112" s="33">
        <v>2373.3000000000002</v>
      </c>
      <c r="E112" s="35">
        <v>-5.7394218684540506E-3</v>
      </c>
      <c r="F112" s="33">
        <v>155.69999999999999</v>
      </c>
      <c r="G112" s="35">
        <v>5.8139534883719455E-3</v>
      </c>
      <c r="H112" s="44">
        <v>164.4</v>
      </c>
      <c r="I112" s="35">
        <v>6.0864272671938102E-4</v>
      </c>
      <c r="J112" s="33">
        <v>170.6</v>
      </c>
      <c r="K112" s="35">
        <v>4.1200706297821578E-3</v>
      </c>
    </row>
    <row r="113" spans="1:11" x14ac:dyDescent="0.35">
      <c r="A113" s="26" t="s">
        <v>73</v>
      </c>
      <c r="B113" s="32">
        <v>2022</v>
      </c>
      <c r="C113" s="32" t="s">
        <v>31</v>
      </c>
      <c r="D113" s="33">
        <v>2356.3999999999996</v>
      </c>
      <c r="E113" s="35">
        <v>-7.1208865293054162E-3</v>
      </c>
      <c r="F113" s="33">
        <v>156.5</v>
      </c>
      <c r="G113" s="35">
        <v>5.1380860629416276E-3</v>
      </c>
      <c r="H113" s="44">
        <v>164.7</v>
      </c>
      <c r="I113" s="35">
        <v>1.8248175182480715E-3</v>
      </c>
      <c r="J113" s="33">
        <v>171.4</v>
      </c>
      <c r="K113" s="35">
        <v>4.6893317702228097E-3</v>
      </c>
    </row>
    <row r="114" spans="1:11" x14ac:dyDescent="0.35">
      <c r="A114" s="26" t="s">
        <v>73</v>
      </c>
      <c r="B114" s="32">
        <v>2022</v>
      </c>
      <c r="C114" s="32" t="s">
        <v>85</v>
      </c>
      <c r="D114" s="33">
        <v>2354.0000000000005</v>
      </c>
      <c r="E114" s="35">
        <v>-1.0185028008823551E-3</v>
      </c>
      <c r="F114" s="33">
        <v>156.9</v>
      </c>
      <c r="G114" s="35">
        <v>2.5559105431310269E-3</v>
      </c>
      <c r="H114" s="44">
        <v>165.4</v>
      </c>
      <c r="I114" s="35">
        <v>4.2501517911355015E-3</v>
      </c>
      <c r="J114" s="33">
        <v>172.2</v>
      </c>
      <c r="K114" s="35">
        <v>4.6674445740955833E-3</v>
      </c>
    </row>
    <row r="115" spans="1:11" x14ac:dyDescent="0.35">
      <c r="A115" s="26" t="s">
        <v>73</v>
      </c>
      <c r="B115" s="32">
        <v>2022</v>
      </c>
      <c r="C115" s="32" t="s">
        <v>107</v>
      </c>
      <c r="D115" s="33">
        <v>2377.9</v>
      </c>
      <c r="E115" s="35">
        <v>1.0152931180968407E-2</v>
      </c>
      <c r="F115" s="33">
        <v>157.9</v>
      </c>
      <c r="G115" s="35">
        <v>6.3734862970044612E-3</v>
      </c>
      <c r="H115" s="44">
        <v>166</v>
      </c>
      <c r="I115" s="35">
        <v>3.6275695284159267E-3</v>
      </c>
      <c r="J115" s="33">
        <v>173</v>
      </c>
      <c r="K115" s="35">
        <v>4.6457607433217848E-3</v>
      </c>
    </row>
    <row r="116" spans="1:11" x14ac:dyDescent="0.35">
      <c r="A116" s="26" t="s">
        <v>73</v>
      </c>
      <c r="B116" s="32">
        <v>2022</v>
      </c>
      <c r="C116" s="32" t="s">
        <v>123</v>
      </c>
      <c r="D116" s="33">
        <v>2408.2000000000003</v>
      </c>
      <c r="E116" s="35">
        <v>1.2742335674334573E-2</v>
      </c>
      <c r="F116" s="33">
        <v>162.6</v>
      </c>
      <c r="G116" s="35">
        <v>2.9765674477517344E-2</v>
      </c>
      <c r="H116" s="44">
        <v>166.9</v>
      </c>
      <c r="I116" s="35">
        <v>5.4216867469879864E-3</v>
      </c>
      <c r="J116" s="33">
        <v>174</v>
      </c>
      <c r="K116" s="35">
        <v>5.7803468208092483E-3</v>
      </c>
    </row>
    <row r="117" spans="1:11" x14ac:dyDescent="0.35">
      <c r="A117" s="26" t="s">
        <v>73</v>
      </c>
      <c r="B117" s="32">
        <v>2022</v>
      </c>
      <c r="C117" s="32" t="s">
        <v>136</v>
      </c>
      <c r="D117" s="33">
        <v>2433.0000000000005</v>
      </c>
      <c r="E117" s="35">
        <v>1.0298147994352703E-2</v>
      </c>
      <c r="F117" s="33">
        <v>163</v>
      </c>
      <c r="G117" s="35">
        <v>2.4600246002460377E-3</v>
      </c>
      <c r="H117" s="44">
        <v>167.9</v>
      </c>
      <c r="I117" s="35">
        <v>5.9916117435590173E-3</v>
      </c>
      <c r="J117" s="33">
        <v>174.8</v>
      </c>
      <c r="K117" s="35">
        <v>4.5977011494253523E-3</v>
      </c>
    </row>
    <row r="118" spans="1:11" x14ac:dyDescent="0.35">
      <c r="A118" s="26" t="s">
        <v>73</v>
      </c>
      <c r="B118" s="32">
        <v>2022</v>
      </c>
      <c r="C118" s="32" t="s">
        <v>146</v>
      </c>
      <c r="D118" s="33">
        <v>2456.2000000000003</v>
      </c>
      <c r="E118" s="35">
        <v>9.5355528154540958E-3</v>
      </c>
      <c r="F118" s="33">
        <v>161.1</v>
      </c>
      <c r="G118" s="35">
        <v>-1.1656441717791446E-2</v>
      </c>
      <c r="H118" s="44">
        <v>169</v>
      </c>
      <c r="I118" s="35">
        <v>6.5515187611673272E-3</v>
      </c>
      <c r="J118" s="33">
        <v>175.4</v>
      </c>
      <c r="K118" s="35">
        <v>3.4324942791761686E-3</v>
      </c>
    </row>
    <row r="119" spans="1:11" x14ac:dyDescent="0.35">
      <c r="A119" s="26" t="s">
        <v>73</v>
      </c>
      <c r="B119" s="32">
        <v>2022</v>
      </c>
      <c r="C119" s="32" t="s">
        <v>163</v>
      </c>
      <c r="D119" s="33">
        <v>2460.9</v>
      </c>
      <c r="E119" s="35">
        <v>1.9135249572509638E-3</v>
      </c>
      <c r="F119" s="33">
        <v>161.6</v>
      </c>
      <c r="G119" s="35">
        <v>3.1036623215394167E-3</v>
      </c>
      <c r="H119" s="44">
        <v>171.4</v>
      </c>
      <c r="I119" s="35">
        <v>1.4201183431952697E-2</v>
      </c>
      <c r="J119" s="33">
        <v>176.1</v>
      </c>
      <c r="K119" s="35">
        <v>3.9908779931584299E-3</v>
      </c>
    </row>
    <row r="120" spans="1:11" x14ac:dyDescent="0.35">
      <c r="A120" s="26" t="s">
        <v>73</v>
      </c>
      <c r="B120" s="32">
        <v>2022</v>
      </c>
      <c r="C120" s="32" t="s">
        <v>182</v>
      </c>
      <c r="D120" s="33">
        <v>2464.2000000000003</v>
      </c>
      <c r="E120" s="35">
        <v>1.3409728148239188E-3</v>
      </c>
      <c r="F120" s="33">
        <v>161.9</v>
      </c>
      <c r="G120" s="35">
        <v>1.8564356435644268E-3</v>
      </c>
      <c r="H120" s="44">
        <v>172.3</v>
      </c>
      <c r="I120" s="35">
        <v>5.2508751458576761E-3</v>
      </c>
      <c r="J120" s="33">
        <v>176.8</v>
      </c>
      <c r="K120" s="35">
        <v>3.9750141964793699E-3</v>
      </c>
    </row>
    <row r="121" spans="1:11" x14ac:dyDescent="0.35">
      <c r="A121" s="26" t="s">
        <v>73</v>
      </c>
      <c r="B121" s="32">
        <v>2022</v>
      </c>
      <c r="C121" s="32" t="s">
        <v>197</v>
      </c>
      <c r="D121" s="33">
        <v>2476.8000000000002</v>
      </c>
      <c r="E121" s="35">
        <v>5.1132213294375079E-3</v>
      </c>
      <c r="F121" s="33">
        <v>162.30000000000001</v>
      </c>
      <c r="G121" s="35">
        <v>2.470660901791264E-3</v>
      </c>
      <c r="H121" s="44">
        <v>173.1</v>
      </c>
      <c r="I121" s="35">
        <v>4.6430644225187636E-3</v>
      </c>
      <c r="J121" s="33">
        <v>177.8</v>
      </c>
      <c r="K121" s="35">
        <v>5.6561085972850677E-3</v>
      </c>
    </row>
    <row r="122" spans="1:11" x14ac:dyDescent="0.35">
      <c r="A122" s="26" t="s">
        <v>73</v>
      </c>
      <c r="B122" s="32">
        <v>2022</v>
      </c>
      <c r="C122" s="32" t="s">
        <v>207</v>
      </c>
      <c r="D122" s="33">
        <v>2493.6000000000004</v>
      </c>
      <c r="E122" s="35">
        <v>6.7829457364341813E-3</v>
      </c>
      <c r="F122" s="33">
        <v>162.9</v>
      </c>
      <c r="G122" s="35">
        <v>3.6968576709796321E-3</v>
      </c>
      <c r="H122" s="44">
        <v>173.4</v>
      </c>
      <c r="I122" s="35">
        <v>1.7331022530329948E-3</v>
      </c>
      <c r="J122" s="33">
        <v>178.7</v>
      </c>
      <c r="K122" s="35">
        <v>5.0618672665915477E-3</v>
      </c>
    </row>
    <row r="123" spans="1:11" x14ac:dyDescent="0.35">
      <c r="A123" s="26" t="s">
        <v>73</v>
      </c>
      <c r="B123" s="32">
        <v>2022</v>
      </c>
      <c r="C123" s="32" t="s">
        <v>233</v>
      </c>
      <c r="D123" s="33">
        <v>2493.7000000000003</v>
      </c>
      <c r="E123" s="35">
        <v>4.010266281677456E-5</v>
      </c>
      <c r="F123" s="33">
        <v>163</v>
      </c>
      <c r="G123" s="35">
        <v>6.1387354205030267E-4</v>
      </c>
      <c r="H123" s="44">
        <v>173.7</v>
      </c>
      <c r="I123" s="35">
        <v>1.7301038062282753E-3</v>
      </c>
      <c r="J123" s="33">
        <v>179.8</v>
      </c>
      <c r="K123" s="35">
        <v>6.1555679910465745E-3</v>
      </c>
    </row>
    <row r="124" spans="1:11" x14ac:dyDescent="0.35">
      <c r="A124" s="26" t="s">
        <v>73</v>
      </c>
      <c r="B124" s="32">
        <v>2022</v>
      </c>
      <c r="C124" s="32" t="s">
        <v>242</v>
      </c>
      <c r="D124" s="33">
        <v>2480.7000000000003</v>
      </c>
      <c r="E124" s="35">
        <v>-5.2131371055058745E-3</v>
      </c>
      <c r="F124" s="33">
        <v>163.4</v>
      </c>
      <c r="G124" s="35">
        <v>2.4539877300613845E-3</v>
      </c>
      <c r="H124" s="44">
        <v>174.1</v>
      </c>
      <c r="I124" s="35">
        <v>2.3028209556707293E-3</v>
      </c>
      <c r="J124" s="33">
        <v>181.1</v>
      </c>
      <c r="K124" s="35">
        <v>7.2302558398219295E-3</v>
      </c>
    </row>
    <row r="128" spans="1:11" x14ac:dyDescent="0.35">
      <c r="B128" t="s">
        <v>1188</v>
      </c>
    </row>
    <row r="130" spans="2:2" x14ac:dyDescent="0.35">
      <c r="B130" t="s">
        <v>1189</v>
      </c>
    </row>
    <row r="133" spans="2:2" x14ac:dyDescent="0.35">
      <c r="B133" s="34" t="s">
        <v>1172</v>
      </c>
    </row>
    <row r="135" spans="2:2" x14ac:dyDescent="0.35">
      <c r="B135" t="s">
        <v>1190</v>
      </c>
    </row>
    <row r="136" spans="2:2" x14ac:dyDescent="0.35">
      <c r="B136" t="s">
        <v>1191</v>
      </c>
    </row>
    <row r="138" spans="2:2" x14ac:dyDescent="0.35">
      <c r="B138" t="s">
        <v>1192</v>
      </c>
    </row>
    <row r="139" spans="2:2" x14ac:dyDescent="0.35">
      <c r="B139" t="s">
        <v>1193</v>
      </c>
    </row>
    <row r="141" spans="2:2" x14ac:dyDescent="0.35">
      <c r="B141" t="s">
        <v>1194</v>
      </c>
    </row>
    <row r="142" spans="2:2" x14ac:dyDescent="0.35">
      <c r="B142" t="s">
        <v>1196</v>
      </c>
    </row>
    <row r="143" spans="2:2" x14ac:dyDescent="0.35">
      <c r="B143" t="s">
        <v>1195</v>
      </c>
    </row>
  </sheetData>
  <autoFilter ref="B65:B124" xr:uid="{6A59D7E6-5C0B-4E6F-8A29-A4B655ED2BCE}"/>
  <conditionalFormatting sqref="E28:E4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6:E1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:F1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5:G12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5:I1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5:K1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:N1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3:P1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:R18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3:T1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3:V1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:X1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3:Z1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5"/>
  <sheetViews>
    <sheetView showGridLines="0" workbookViewId="0">
      <selection activeCell="G19" sqref="G19"/>
    </sheetView>
  </sheetViews>
  <sheetFormatPr defaultRowHeight="14.5" x14ac:dyDescent="0.35"/>
  <cols>
    <col min="2" max="2" width="31.26953125" bestFit="1" customWidth="1"/>
    <col min="3" max="3" width="11.54296875" customWidth="1"/>
    <col min="4" max="4" width="21.08984375" customWidth="1"/>
    <col min="5" max="5" width="14.90625" bestFit="1" customWidth="1"/>
    <col min="6" max="6" width="9.54296875" bestFit="1" customWidth="1"/>
    <col min="7" max="7" width="27.6328125" bestFit="1" customWidth="1"/>
    <col min="8" max="8" width="19.81640625" bestFit="1" customWidth="1"/>
    <col min="11" max="11" width="13.81640625" bestFit="1" customWidth="1"/>
  </cols>
  <sheetData>
    <row r="2" spans="2:11" x14ac:dyDescent="0.35">
      <c r="D2" s="86" t="s">
        <v>1197</v>
      </c>
      <c r="E2" s="86" t="s">
        <v>1187</v>
      </c>
      <c r="F2" s="86"/>
      <c r="G2" s="86"/>
      <c r="H2" s="86"/>
    </row>
    <row r="4" spans="2:11" x14ac:dyDescent="0.35">
      <c r="B4" s="4" t="s">
        <v>3</v>
      </c>
    </row>
    <row r="5" spans="2:11" x14ac:dyDescent="0.35">
      <c r="B5" s="4" t="s">
        <v>4</v>
      </c>
    </row>
    <row r="6" spans="2:11" x14ac:dyDescent="0.35">
      <c r="B6" s="4" t="s">
        <v>5</v>
      </c>
      <c r="E6" t="s">
        <v>1153</v>
      </c>
      <c r="F6" t="s">
        <v>1154</v>
      </c>
      <c r="G6" t="s">
        <v>1155</v>
      </c>
      <c r="H6" t="s">
        <v>1156</v>
      </c>
      <c r="I6" t="s">
        <v>1157</v>
      </c>
      <c r="J6" t="s">
        <v>23</v>
      </c>
      <c r="K6" t="s">
        <v>1158</v>
      </c>
    </row>
    <row r="7" spans="2:11" x14ac:dyDescent="0.35">
      <c r="B7" s="4" t="s">
        <v>6</v>
      </c>
      <c r="G7" s="8"/>
    </row>
    <row r="8" spans="2:11" x14ac:dyDescent="0.35">
      <c r="B8" s="4" t="s">
        <v>7</v>
      </c>
    </row>
    <row r="9" spans="2:11" x14ac:dyDescent="0.35">
      <c r="B9" s="4" t="s">
        <v>8</v>
      </c>
    </row>
    <row r="10" spans="2:11" x14ac:dyDescent="0.35">
      <c r="B10" s="4" t="s">
        <v>9</v>
      </c>
      <c r="D10" t="s">
        <v>1153</v>
      </c>
    </row>
    <row r="11" spans="2:11" x14ac:dyDescent="0.35">
      <c r="B11" s="4" t="s">
        <v>10</v>
      </c>
    </row>
    <row r="12" spans="2:11" x14ac:dyDescent="0.35">
      <c r="B12" s="4" t="s">
        <v>11</v>
      </c>
    </row>
    <row r="13" spans="2:11" x14ac:dyDescent="0.35">
      <c r="B13" s="4" t="s">
        <v>12</v>
      </c>
    </row>
    <row r="14" spans="2:11" x14ac:dyDescent="0.35">
      <c r="B14" s="4" t="s">
        <v>13</v>
      </c>
    </row>
    <row r="15" spans="2:11" x14ac:dyDescent="0.35">
      <c r="B15" s="4" t="s">
        <v>14</v>
      </c>
    </row>
    <row r="16" spans="2:11" x14ac:dyDescent="0.35">
      <c r="B16" s="4" t="s">
        <v>15</v>
      </c>
    </row>
    <row r="17" spans="2:4" x14ac:dyDescent="0.35">
      <c r="B17" s="4" t="s">
        <v>16</v>
      </c>
    </row>
    <row r="18" spans="2:4" x14ac:dyDescent="0.35">
      <c r="B18" s="17"/>
    </row>
    <row r="19" spans="2:4" x14ac:dyDescent="0.35">
      <c r="B19" s="5" t="s">
        <v>17</v>
      </c>
    </row>
    <row r="20" spans="2:4" x14ac:dyDescent="0.35">
      <c r="B20" s="5" t="s">
        <v>18</v>
      </c>
      <c r="D20" t="s">
        <v>1156</v>
      </c>
    </row>
    <row r="21" spans="2:4" x14ac:dyDescent="0.35">
      <c r="B21" s="5" t="s">
        <v>19</v>
      </c>
    </row>
    <row r="22" spans="2:4" x14ac:dyDescent="0.35">
      <c r="B22" s="17"/>
    </row>
    <row r="23" spans="2:4" x14ac:dyDescent="0.35">
      <c r="B23" s="12" t="s">
        <v>20</v>
      </c>
      <c r="D23" s="82" t="s">
        <v>1157</v>
      </c>
    </row>
    <row r="24" spans="2:4" x14ac:dyDescent="0.35">
      <c r="B24" s="12" t="s">
        <v>22</v>
      </c>
      <c r="D24" s="82"/>
    </row>
    <row r="27" spans="2:4" x14ac:dyDescent="0.35">
      <c r="B27" s="10" t="s">
        <v>27</v>
      </c>
      <c r="D27" s="81" t="s">
        <v>1155</v>
      </c>
    </row>
    <row r="28" spans="2:4" x14ac:dyDescent="0.35">
      <c r="B28" s="10" t="s">
        <v>25</v>
      </c>
      <c r="D28" s="81"/>
    </row>
    <row r="29" spans="2:4" x14ac:dyDescent="0.35">
      <c r="B29" s="17"/>
    </row>
    <row r="30" spans="2:4" x14ac:dyDescent="0.35">
      <c r="B30" s="1" t="s">
        <v>26</v>
      </c>
      <c r="D30" t="s">
        <v>1154</v>
      </c>
    </row>
    <row r="31" spans="2:4" x14ac:dyDescent="0.35">
      <c r="B31" s="17"/>
    </row>
    <row r="32" spans="2:4" x14ac:dyDescent="0.35">
      <c r="B32" s="1" t="s">
        <v>23</v>
      </c>
      <c r="D32" t="s">
        <v>23</v>
      </c>
    </row>
    <row r="33" spans="2:4" x14ac:dyDescent="0.35">
      <c r="B33" s="17"/>
    </row>
    <row r="34" spans="2:4" x14ac:dyDescent="0.35">
      <c r="B34" s="11" t="s">
        <v>24</v>
      </c>
      <c r="D34" s="82" t="s">
        <v>1158</v>
      </c>
    </row>
    <row r="35" spans="2:4" x14ac:dyDescent="0.35">
      <c r="B35" s="11" t="s">
        <v>21</v>
      </c>
      <c r="D35" s="82"/>
    </row>
  </sheetData>
  <mergeCells count="3">
    <mergeCell ref="D27:D28"/>
    <mergeCell ref="D23:D24"/>
    <mergeCell ref="D34:D3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6345F3-15CC-43C2-BA1F-6BA88484BB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Working Sheet</vt:lpstr>
      <vt:lpstr>Objectives and Comm.</vt:lpstr>
      <vt:lpstr>Crude Oil </vt:lpstr>
      <vt:lpstr>YOY </vt:lpstr>
      <vt:lpstr>EDA 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RAI</dc:creator>
  <cp:lastModifiedBy>ALOK KUMAR RAI .</cp:lastModifiedBy>
  <dcterms:created xsi:type="dcterms:W3CDTF">2015-06-05T18:17:20Z</dcterms:created>
  <dcterms:modified xsi:type="dcterms:W3CDTF">2024-09-12T10:18:08Z</dcterms:modified>
</cp:coreProperties>
</file>